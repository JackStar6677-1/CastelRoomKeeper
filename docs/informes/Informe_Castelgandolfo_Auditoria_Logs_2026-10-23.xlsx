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3cf98af8b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51165d9642214331"/>
    <x:sheet xmlns:r="http://schemas.openxmlformats.org/officeDocument/2006/relationships" name="Datos Webalizer" sheetId="2" r:id="R5bdd8093544540ce"/>
    <x:sheet xmlns:r="http://schemas.openxmlformats.org/officeDocument/2006/relationships" name="Glosario y límites" sheetId="3" r:id="R466967bb900c439f"/>
    <x:sheet xmlns:r="http://schemas.openxmlformats.org/officeDocument/2006/relationships" name="Plan de medición" sheetId="4" r:id="Rdb6c8093050f44a0"/>
    <x:sheet xmlns:r="http://schemas.openxmlformats.org/officeDocument/2006/relationships" name="Comparación 2023-2026" sheetId="5" r:id="R4f8d782455a24d34"/>
    <x:sheet xmlns:r="http://schemas.openxmlformats.org/officeDocument/2006/relationships" name="Evidencia logs 23-10" sheetId="6" r:id="R5ae49139d93c431b"/>
    <x:sheet xmlns:r="http://schemas.openxmlformats.org/officeDocument/2006/relationships" name="Auditoría SSL 23-10" sheetId="7" r:id="Rcdf72bec530e40cc"/>
    <x:sheet xmlns:r="http://schemas.openxmlformats.org/officeDocument/2006/relationships" name="Códigos HTTP" sheetId="8" r:id="R3801a3dfb7da4089"/>
    <x:sheet xmlns:r="http://schemas.openxmlformats.org/officeDocument/2006/relationships" name="Rutas web" sheetId="9" r:id="Rc8735f2764fd4fa4"/>
    <x:sheet xmlns:r="http://schemas.openxmlformats.org/officeDocument/2006/relationships" name="Recursos y tráfico" sheetId="10" r:id="R15570e1961d645d8"/>
    <x:sheet xmlns:r="http://schemas.openxmlformats.org/officeDocument/2006/relationships" name="Automatización" sheetId="11" r:id="R3cd55e24db3642c7"/>
    <x:sheet xmlns:r="http://schemas.openxmlformats.org/officeDocument/2006/relationships" name="Conclusiones SSL" sheetId="12" r:id="R39d08195072a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5D6B7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86B79"/>
      </x:patternFill>
    </x:fill>
    <x:fill>
      <x:patternFill patternType="solid">
        <x:fgColor rgb="FFFFF2CC"/>
      </x:patternFill>
    </x:fill>
    <x:fill>
      <x:patternFill patternType="solid">
        <x:fgColor rgb="FF183153"/>
      </x:patternFill>
    </x:fill>
    <x:fill>
      <x:patternFill patternType="solid">
        <x:fgColor rgb="FF1C657A"/>
      </x:patternFill>
    </x:fill>
    <x:fill>
      <x:patternFill patternType="solid">
        <x:fgColor rgb="FF17324F"/>
      </x:patternFill>
    </x:fill>
    <x:fill>
      <x:patternFill patternType="solid">
        <x:fgColor rgb="FFE9F3F7"/>
      </x:patternFill>
    </x:fill>
    <x:fill>
      <x:patternFill patternType="solid">
        <x:fgColor rgb="FF087F8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8df94d48a4e75" /><Relationship Type="http://schemas.openxmlformats.org/officeDocument/2006/relationships/theme" Target="/xl/theme/theme1.xml" Id="R93ad6eca1cf04efa" /><Relationship Type="http://schemas.openxmlformats.org/officeDocument/2006/relationships/sharedStrings" Target="/xl/sharedStrings.xml" Id="R5bd8c4ca504049af" /><Relationship Type="http://schemas.openxmlformats.org/officeDocument/2006/relationships/worksheet" Target="/xl/worksheets/sheet1.xml" Id="R51165d9642214331" /><Relationship Type="http://schemas.openxmlformats.org/officeDocument/2006/relationships/worksheet" Target="/xl/worksheets/sheet2.xml" Id="R5bdd8093544540ce" /><Relationship Type="http://schemas.openxmlformats.org/officeDocument/2006/relationships/worksheet" Target="/xl/worksheets/sheet3.xml" Id="R466967bb900c439f" /><Relationship Type="http://schemas.openxmlformats.org/officeDocument/2006/relationships/worksheet" Target="/xl/worksheets/sheet4.xml" Id="Rdb6c8093050f44a0" /><Relationship Type="http://schemas.openxmlformats.org/officeDocument/2006/relationships/worksheet" Target="/xl/worksheets/sheet5.xml" Id="R4f8d782455a24d34" /><Relationship Type="http://schemas.openxmlformats.org/officeDocument/2006/relationships/worksheet" Target="/xl/worksheets/sheet6.xml" Id="R5ae49139d93c431b" /><Relationship Type="http://schemas.openxmlformats.org/officeDocument/2006/relationships/worksheet" Target="/xl/worksheets/sheet7.xml" Id="Rcdf72bec530e40cc" /><Relationship Type="http://schemas.openxmlformats.org/officeDocument/2006/relationships/worksheet" Target="/xl/worksheets/sheet8.xml" Id="R3801a3dfb7da4089" /><Relationship Type="http://schemas.openxmlformats.org/officeDocument/2006/relationships/worksheet" Target="/xl/worksheets/sheet9.xml" Id="Rc8735f2764fd4fa4" /><Relationship Type="http://schemas.openxmlformats.org/officeDocument/2006/relationships/worksheet" Target="/xl/worksheets/sheet10.xml" Id="R15570e1961d645d8" /><Relationship Type="http://schemas.openxmlformats.org/officeDocument/2006/relationships/worksheet" Target="/xl/worksheets/sheet11.xml" Id="R3cd55e24db3642c7" /><Relationship Type="http://schemas.openxmlformats.org/officeDocument/2006/relationships/worksheet" Target="/xl/worksheets/sheet12.xml" Id="R39d08195072a4e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678c1fc59648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Visitas estimadas · 2026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5684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78c1fc59648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3ad77e37f98409e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COLEGIO CASTELGANDOLFO | Informe de analítica web</x:v>
      </x:c>
      <x:c r="B1" s="4"/>
      <x:c r="C1" s="4"/>
      <x:c r="D1" s="4"/>
      <x:c r="E1" s="4"/>
      <x:c r="F1" s="4"/>
      <x:c r="G1" s="4"/>
      <x:c r="H1" s="4"/>
    </x:row>
    <x:row r="3">
      <x:c r="A3" s="8" t="str">
        <x:v>Fecha de emisión</x:v>
      </x:c>
      <x:c r="B3" t="str">
        <x:v>23 de octubre de 2026</x:v>
      </x:c>
    </x:row>
    <x:row r="4">
      <x:c r="A4" s="8" t="str">
        <x:v>Dominio</x:v>
      </x:c>
      <x:c r="B4" t="str">
        <x:v>colegiocastelgandolfo.cl</x:v>
      </x:c>
    </x:row>
    <x:row r="5">
      <x:c r="A5" s="8" t="str">
        <x:v>Fuente</x:v>
      </x:c>
      <x:c r="B5" t="str">
        <x:v>Webalizer 2.23 · reportes MHT suministrados</x:v>
      </x:c>
    </x:row>
    <x:row r="6">
      <x:c r="A6" s="8" t="str">
        <x:v>Cobertura histórica</x:v>
      </x:c>
      <x:c r="B6" t="str">
        <x:v>Enero–diciembre 2023; noviembre–diciembre 2025; enero–octubre 2026</x:v>
      </x:c>
    </x:row>
    <x:row r="7">
      <x:c r="A7" s="8" t="str">
        <x:v>Corte 2026</x:v>
      </x:c>
      <x:c r="B7" t="str">
        <x:v>23/10/2026 09:30 -03 (reporte de origen)</x:v>
      </x:c>
    </x:row>
    <x:row r="8">
      <x:c r="A8" s="8" t="str">
        <x:v>Audiencia</x:v>
      </x:c>
      <x:c r="B8" t="str">
        <x:v>Dirección del establecimiento</x:v>
      </x:c>
    </x:row>
    <x:row r="10" ht="27" customHeight="1">
      <x:c r="A10" s="12" t="str">
        <x:v>INDICADORES · ENERO–SEPTIEMBRE 2026 (meses completos)</x:v>
      </x:c>
      <x:c r="B10" s="12"/>
      <x:c r="C10" s="12"/>
      <x:c r="D10" s="12"/>
      <x:c r="E10" s="12"/>
      <x:c r="F10" s="12"/>
      <x:c r="G10" s="12"/>
      <x:c r="H10" s="12"/>
    </x:row>
    <x:row r="12">
      <x:c r="A12" s="8" t="str">
        <x:v>Visitas estimadas</x:v>
      </x:c>
      <x:c r="B12" s="18" t="n">
        <x:f>SUM('Datos Webalizer'!I18:I26)</x:f>
        <x:v>545748992</x:v>
      </x:c>
    </x:row>
    <x:row r="13">
      <x:c r="A13" s="8" t="str">
        <x:v>Páginas contabilizadas</x:v>
      </x:c>
      <x:c r="B13" s="18" t="n">
        <x:f>SUM('Datos Webalizer'!J18:J26)</x:f>
        <x:v>75823</x:v>
      </x:c>
    </x:row>
    <x:row r="14">
      <x:c r="A14" s="8" t="str">
        <x:v>Solicitudes de archivos</x:v>
      </x:c>
      <x:c r="B14" s="18" t="n">
        <x:f>SUM('Datos Webalizer'!K18:K26)</x:f>
        <x:v>207968</x:v>
      </x:c>
    </x:row>
    <x:row r="15">
      <x:c r="A15" s="8" t="str">
        <x:v>Accesos HTTP</x:v>
      </x:c>
      <x:c r="B15" s="18" t="n">
        <x:f>SUM('Datos Webalizer'!L18:L26)</x:f>
        <x:v>1411379</x:v>
      </x:c>
    </x:row>
    <x:row r="16">
      <x:c r="A16" s="8" t="str">
        <x:v>Clientes identificados</x:v>
      </x:c>
      <x:c r="B16" t="str">
        <x:v>No sumar: sin deduplicación entre meses</x:v>
      </x:c>
    </x:row>
    <x:row r="18" ht="27" customHeight="1">
      <x:c r="A18" s="12" t="str">
        <x:v>LECTURA DIRECTIVA</x:v>
      </x:c>
      <x:c r="B18" s="12"/>
      <x:c r="C18" s="12"/>
      <x:c r="D18" s="12"/>
      <x:c r="E18" s="12"/>
      <x:c r="F18" s="12"/>
      <x:c r="G18" s="12"/>
      <x:c r="H18" s="12"/>
    </x:row>
    <x:row r="20" ht="34" customHeight="1">
      <x:c r="A20" s="16" t="str">
        <x:v>• Los accesos no equivalen a personas: cada carga de página puede realizar numerosas solicitudes HTTP.</x:v>
      </x:c>
      <x:c r="B20" s="16"/>
      <x:c r="C20" s="16"/>
      <x:c r="D20" s="16"/>
      <x:c r="E20" s="16"/>
      <x:c r="F20" s="16"/>
      <x:c r="G20" s="16"/>
      <x:c r="H20" s="16"/>
    </x:row>
    <x:row r="21" ht="34" customHeight="1">
      <x:c r="A21" s="16" t="str">
        <x:v>• “Archivos” significa respuestas/solicitudes de recursos, NO cantidad de archivos distintos almacenados en el servidor.</x:v>
      </x:c>
      <x:c r="B21" s="16"/>
      <x:c r="C21" s="16"/>
      <x:c r="D21" s="16"/>
      <x:c r="E21" s="16"/>
      <x:c r="F21" s="16"/>
      <x:c r="G21" s="16"/>
      <x:c r="H21" s="16"/>
    </x:row>
    <x:row r="22" ht="34" customHeight="1">
      <x:c r="A22" s="16" t="str">
        <x:v>• “Visitas” son sesiones estimadas por el analizador de logs; “clientes” no es un conteo verificable de personas únicas.</x:v>
      </x:c>
      <x:c r="B22" s="16"/>
      <x:c r="C22" s="16"/>
      <x:c r="D22" s="16"/>
      <x:c r="E22" s="16"/>
      <x:c r="F22" s="16"/>
      <x:c r="G22" s="16"/>
      <x:c r="H22" s="16"/>
    </x:row>
    <x:row r="23" ht="34" customHeight="1">
      <x:c r="A23" s="16" t="str">
        <x:v>• Sin filtrado auditable de bots, tráfico interno y errores, estas cifras no deben comercializarse como alcance humano real.</x:v>
      </x:c>
      <x:c r="B23" s="16"/>
      <x:c r="C23" s="16"/>
      <x:c r="D23" s="16"/>
      <x:c r="E23" s="16"/>
      <x:c r="F23" s="16"/>
      <x:c r="G23" s="16"/>
      <x:c r="H23" s="16"/>
    </x:row>
    <x:row r="24" ht="34" customHeight="1">
      <x:c r="A24" s="16" t="str">
        <x:v>• Octubre de 2026 y diciembre de 2023 son cortes parciales: excluirlos de comparaciones de meses completos.</x:v>
      </x:c>
      <x:c r="B24" s="16"/>
      <x:c r="C24" s="16"/>
      <x:c r="D24" s="16"/>
      <x:c r="E24" s="16"/>
      <x:c r="F24" s="16"/>
      <x:c r="G24" s="16"/>
      <x:c r="H24" s="16"/>
    </x:row>
    <x:row r="25" ht="34" customHeight="1">
      <x:c r="A25" s="16" t="str">
        <x:v>• Webalizer no registra coordenadas de clics, recorridos de usuarios, interacciones ni conversiones de marketing.</x:v>
      </x:c>
      <x:c r="B25" s="16"/>
      <x:c r="C25" s="16"/>
      <x:c r="D25" s="16"/>
      <x:c r="E25" s="16"/>
      <x:c r="F25" s="16"/>
      <x:c r="G25" s="16"/>
      <x:c r="H25" s="16"/>
    </x:row>
    <x:row r="26" ht="34" customHeight="1">
      <x:c r="A26" s="16" t="str">
        <x:v>• Recomendación: instalar analítica de eventos y mapas de calor solo donde corresponda, con minimización de datos y revisión de privacidad.</x:v>
      </x:c>
      <x:c r="B26" s="16"/>
      <x:c r="C26" s="16"/>
      <x:c r="D26" s="16"/>
      <x:c r="E26" s="16"/>
      <x:c r="F26" s="16"/>
      <x:c r="G26" s="16"/>
      <x:c r="H26" s="16"/>
    </x:row>
  </x:sheetData>
  <x:mergeCells>
    <x:mergeCell ref="A1:H1"/>
    <x:mergeCell ref="A10:H10"/>
    <x:mergeCell ref="A18:H18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3" hidden="0" customWidth="1"/>
  </x:cols>
  <x:sheetData>
    <x:row r="1" ht="34" customHeight="1">
      <x:c r="A1" s="4" t="str">
        <x:v>Detalle mensual · transcripción fiel de Webalizer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27" customHeight="1">
      <x:c r="A3" s="12" t="str">
        <x:v>Año</x:v>
      </x:c>
      <x:c r="B3" s="12" t="str">
        <x:v>Mes nº</x:v>
      </x:c>
      <x:c r="C3" s="12" t="str">
        <x:v>Periodo</x:v>
      </x:c>
      <x:c r="D3" s="12" t="str">
        <x:v>Media diaria: accesos</x:v>
      </x:c>
      <x:c r="E3" s="12" t="str">
        <x:v>Media diaria: archivos</x:v>
      </x:c>
      <x:c r="F3" s="12" t="str">
        <x:v>Media diaria: páginas</x:v>
      </x:c>
      <x:c r="G3" s="12" t="str">
        <x:v>Media diaria: visitas</x:v>
      </x:c>
      <x:c r="H3" s="12" t="str">
        <x:v>Clientes (mes)</x:v>
      </x:c>
      <x:c r="I3" s="12" t="str">
        <x:v>Transferencia (KBytes)</x:v>
      </x:c>
      <x:c r="J3" s="12" t="str">
        <x:v>Visitas (mes)</x:v>
      </x:c>
      <x:c r="K3" s="12" t="str">
        <x:v>Páginas (mes)</x:v>
      </x:c>
      <x:c r="L3" s="12" t="str">
        <x:v>Archivos (mes)</x:v>
      </x:c>
      <x:c r="M3" s="12" t="str">
        <x:v>Accesos (mes)</x:v>
      </x:c>
      <x:c r="N3" s="12" t="str">
        <x:v>Estado / fuente</x:v>
      </x:c>
    </x:row>
    <x:row r="4" ht="22" customHeight="1">
      <x:c r="A4" t="n">
        <x:v>2023</x:v>
      </x:c>
      <x:c r="B4" t="n">
        <x:v>1</x:v>
      </x:c>
      <x:c r="C4" t="str">
        <x:v>Ene 2023</x:v>
      </x:c>
      <x:c r="D4" s="18" t="n">
        <x:v>1454</x:v>
      </x:c>
      <x:c r="E4" s="18" t="n">
        <x:v>1153</x:v>
      </x:c>
      <x:c r="F4" s="18" t="n">
        <x:v>143</x:v>
      </x:c>
      <x:c r="G4" s="18" t="n">
        <x:v>72</x:v>
      </x:c>
      <x:c r="H4" s="18" t="n">
        <x:v>3234</x:v>
      </x:c>
      <x:c r="I4" s="18" t="n">
        <x:v>2512944</x:v>
      </x:c>
      <x:c r="J4" s="18" t="n">
        <x:v>2252</x:v>
      </x:c>
      <x:c r="K4" s="18" t="n">
        <x:v>4459</x:v>
      </x:c>
      <x:c r="L4" s="18" t="n">
        <x:v>35752</x:v>
      </x:c>
      <x:c r="M4" s="18" t="n">
        <x:v>45078</x:v>
      </x:c>
      <x:c r="N4" t="str">
        <x:v>Mes completo · Webalizer 2.23 · MHT adjunto</x:v>
      </x:c>
    </x:row>
    <x:row r="5" ht="22" customHeight="1">
      <x:c r="A5" t="n">
        <x:v>2023</x:v>
      </x:c>
      <x:c r="B5" t="n">
        <x:v>2</x:v>
      </x:c>
      <x:c r="C5" t="str">
        <x:v>Feb 2023</x:v>
      </x:c>
      <x:c r="D5" s="18" t="n">
        <x:v>1644</x:v>
      </x:c>
      <x:c r="E5" s="18" t="n">
        <x:v>1384</x:v>
      </x:c>
      <x:c r="F5" s="18" t="n">
        <x:v>143</x:v>
      </x:c>
      <x:c r="G5" s="18" t="n">
        <x:v>76</x:v>
      </x:c>
      <x:c r="H5" s="18" t="n">
        <x:v>2802</x:v>
      </x:c>
      <x:c r="I5" s="18" t="n">
        <x:v>4721973</x:v>
      </x:c>
      <x:c r="J5" s="18" t="n">
        <x:v>2152</x:v>
      </x:c>
      <x:c r="K5" s="18" t="n">
        <x:v>4028</x:v>
      </x:c>
      <x:c r="L5" s="18" t="n">
        <x:v>38757</x:v>
      </x:c>
      <x:c r="M5" s="18" t="n">
        <x:v>46054</x:v>
      </x:c>
      <x:c r="N5" t="str">
        <x:v>Mes completo · Webalizer 2.23 · MHT adjunto</x:v>
      </x:c>
    </x:row>
    <x:row r="6" ht="22" customHeight="1">
      <x:c r="A6" t="n">
        <x:v>2023</x:v>
      </x:c>
      <x:c r="B6" t="n">
        <x:v>3</x:v>
      </x:c>
      <x:c r="C6" t="str">
        <x:v>Mar 2023</x:v>
      </x:c>
      <x:c r="D6" s="18" t="n">
        <x:v>2213</x:v>
      </x:c>
      <x:c r="E6" s="18" t="n">
        <x:v>1881</x:v>
      </x:c>
      <x:c r="F6" s="18" t="n">
        <x:v>217</x:v>
      </x:c>
      <x:c r="G6" s="18" t="n">
        <x:v>124</x:v>
      </x:c>
      <x:c r="H6" s="18" t="n">
        <x:v>3947</x:v>
      </x:c>
      <x:c r="I6" s="18" t="n">
        <x:v>4920767</x:v>
      </x:c>
      <x:c r="J6" s="18" t="n">
        <x:v>3854</x:v>
      </x:c>
      <x:c r="K6" s="18" t="n">
        <x:v>6740</x:v>
      </x:c>
      <x:c r="L6" s="18" t="n">
        <x:v>58329</x:v>
      </x:c>
      <x:c r="M6" s="18" t="n">
        <x:v>68623</x:v>
      </x:c>
      <x:c r="N6" t="str">
        <x:v>Mes completo · Webalizer 2.23 · MHT adjunto</x:v>
      </x:c>
    </x:row>
    <x:row r="7" ht="22" customHeight="1">
      <x:c r="A7" t="n">
        <x:v>2023</x:v>
      </x:c>
      <x:c r="B7" t="n">
        <x:v>4</x:v>
      </x:c>
      <x:c r="C7" t="str">
        <x:v>Abr 2023</x:v>
      </x:c>
      <x:c r="D7" s="18" t="n">
        <x:v>1657</x:v>
      </x:c>
      <x:c r="E7" s="18" t="n">
        <x:v>1310</x:v>
      </x:c>
      <x:c r="F7" s="18" t="n">
        <x:v>169</x:v>
      </x:c>
      <x:c r="G7" s="18" t="n">
        <x:v>97</x:v>
      </x:c>
      <x:c r="H7" s="18" t="n">
        <x:v>3593</x:v>
      </x:c>
      <x:c r="I7" s="18" t="n">
        <x:v>2223257</x:v>
      </x:c>
      <x:c r="J7" s="18" t="n">
        <x:v>2925</x:v>
      </x:c>
      <x:c r="K7" s="18" t="n">
        <x:v>5086</x:v>
      </x:c>
      <x:c r="L7" s="18" t="n">
        <x:v>39310</x:v>
      </x:c>
      <x:c r="M7" s="18" t="n">
        <x:v>49729</x:v>
      </x:c>
      <x:c r="N7" t="str">
        <x:v>Mes completo · Webalizer 2.23 · MHT adjunto</x:v>
      </x:c>
    </x:row>
    <x:row r="8" ht="22" customHeight="1">
      <x:c r="A8" t="n">
        <x:v>2023</x:v>
      </x:c>
      <x:c r="B8" t="n">
        <x:v>5</x:v>
      </x:c>
      <x:c r="C8" t="str">
        <x:v>May 2023</x:v>
      </x:c>
      <x:c r="D8" s="18" t="n">
        <x:v>1616</x:v>
      </x:c>
      <x:c r="E8" s="18" t="n">
        <x:v>1393</x:v>
      </x:c>
      <x:c r="F8" s="18" t="n">
        <x:v>175</x:v>
      </x:c>
      <x:c r="G8" s="18" t="n">
        <x:v>98</x:v>
      </x:c>
      <x:c r="H8" s="18" t="n">
        <x:v>3205</x:v>
      </x:c>
      <x:c r="I8" s="18" t="n">
        <x:v>1924451</x:v>
      </x:c>
      <x:c r="J8" s="18" t="n">
        <x:v>3039</x:v>
      </x:c>
      <x:c r="K8" s="18" t="n">
        <x:v>5449</x:v>
      </x:c>
      <x:c r="L8" s="18" t="n">
        <x:v>43187</x:v>
      </x:c>
      <x:c r="M8" s="18" t="n">
        <x:v>50123</x:v>
      </x:c>
      <x:c r="N8" t="str">
        <x:v>Mes completo · Webalizer 2.23 · MHT adjunto</x:v>
      </x:c>
    </x:row>
    <x:row r="9" ht="22" customHeight="1">
      <x:c r="A9" t="n">
        <x:v>2023</x:v>
      </x:c>
      <x:c r="B9" t="n">
        <x:v>6</x:v>
      </x:c>
      <x:c r="C9" t="str">
        <x:v>Jun 2023</x:v>
      </x:c>
      <x:c r="D9" s="18" t="n">
        <x:v>1505</x:v>
      </x:c>
      <x:c r="E9" s="18" t="n">
        <x:v>1288</x:v>
      </x:c>
      <x:c r="F9" s="18" t="n">
        <x:v>172</x:v>
      </x:c>
      <x:c r="G9" s="18" t="n">
        <x:v>99</x:v>
      </x:c>
      <x:c r="H9" s="18" t="n">
        <x:v>3243</x:v>
      </x:c>
      <x:c r="I9" s="18" t="n">
        <x:v>2229368</x:v>
      </x:c>
      <x:c r="J9" s="18" t="n">
        <x:v>2976</x:v>
      </x:c>
      <x:c r="K9" s="18" t="n">
        <x:v>5178</x:v>
      </x:c>
      <x:c r="L9" s="18" t="n">
        <x:v>38651</x:v>
      </x:c>
      <x:c r="M9" s="18" t="n">
        <x:v>45158</x:v>
      </x:c>
      <x:c r="N9" t="str">
        <x:v>Mes completo · Webalizer 2.23 · MHT adjunto</x:v>
      </x:c>
    </x:row>
    <x:row r="10" ht="22" customHeight="1">
      <x:c r="A10" t="n">
        <x:v>2023</x:v>
      </x:c>
      <x:c r="B10" t="n">
        <x:v>7</x:v>
      </x:c>
      <x:c r="C10" t="str">
        <x:v>Jul 2023</x:v>
      </x:c>
      <x:c r="D10" s="18" t="n">
        <x:v>1762</x:v>
      </x:c>
      <x:c r="E10" s="18" t="n">
        <x:v>1434</x:v>
      </x:c>
      <x:c r="F10" s="18" t="n">
        <x:v>185</x:v>
      </x:c>
      <x:c r="G10" s="18" t="n">
        <x:v>95</x:v>
      </x:c>
      <x:c r="H10" s="18" t="n">
        <x:v>3522</x:v>
      </x:c>
      <x:c r="I10" s="18" t="n">
        <x:v>1938292</x:v>
      </x:c>
      <x:c r="J10" s="18" t="n">
        <x:v>2948</x:v>
      </x:c>
      <x:c r="K10" s="18" t="n">
        <x:v>5761</x:v>
      </x:c>
      <x:c r="L10" s="18" t="n">
        <x:v>44476</x:v>
      </x:c>
      <x:c r="M10" s="18" t="n">
        <x:v>54649</x:v>
      </x:c>
      <x:c r="N10" t="str">
        <x:v>Mes completo · Webalizer 2.23 · MHT adjunto</x:v>
      </x:c>
    </x:row>
    <x:row r="11" ht="22" customHeight="1">
      <x:c r="A11" t="n">
        <x:v>2023</x:v>
      </x:c>
      <x:c r="B11" t="n">
        <x:v>8</x:v>
      </x:c>
      <x:c r="C11" t="str">
        <x:v>Ago 2023</x:v>
      </x:c>
      <x:c r="D11" s="18" t="n">
        <x:v>2012</x:v>
      </x:c>
      <x:c r="E11" s="18" t="n">
        <x:v>1595</x:v>
      </x:c>
      <x:c r="F11" s="18" t="n">
        <x:v>218</x:v>
      </x:c>
      <x:c r="G11" s="18" t="n">
        <x:v>124</x:v>
      </x:c>
      <x:c r="H11" s="18" t="n">
        <x:v>4039</x:v>
      </x:c>
      <x:c r="I11" s="18" t="n">
        <x:v>2293320</x:v>
      </x:c>
      <x:c r="J11" s="18" t="n">
        <x:v>3851</x:v>
      </x:c>
      <x:c r="K11" s="18" t="n">
        <x:v>6780</x:v>
      </x:c>
      <x:c r="L11" s="18" t="n">
        <x:v>49461</x:v>
      </x:c>
      <x:c r="M11" s="18" t="n">
        <x:v>62387</x:v>
      </x:c>
      <x:c r="N11" t="str">
        <x:v>Mes completo · Webalizer 2.23 · MHT adjunto</x:v>
      </x:c>
    </x:row>
    <x:row r="12" ht="22" customHeight="1">
      <x:c r="A12" t="n">
        <x:v>2023</x:v>
      </x:c>
      <x:c r="B12" t="n">
        <x:v>9</x:v>
      </x:c>
      <x:c r="C12" t="str">
        <x:v>Sep 2023</x:v>
      </x:c>
      <x:c r="D12" s="18" t="n">
        <x:v>1314</x:v>
      </x:c>
      <x:c r="E12" s="18" t="n">
        <x:v>931</x:v>
      </x:c>
      <x:c r="F12" s="18" t="n">
        <x:v>160</x:v>
      </x:c>
      <x:c r="G12" s="18" t="n">
        <x:v>80</x:v>
      </x:c>
      <x:c r="H12" s="18" t="n">
        <x:v>3310</x:v>
      </x:c>
      <x:c r="I12" s="18" t="n">
        <x:v>1787485</x:v>
      </x:c>
      <x:c r="J12" s="18" t="n">
        <x:v>2409</x:v>
      </x:c>
      <x:c r="K12" s="18" t="n">
        <x:v>4823</x:v>
      </x:c>
      <x:c r="L12" s="18" t="n">
        <x:v>27955</x:v>
      </x:c>
      <x:c r="M12" s="18" t="n">
        <x:v>39439</x:v>
      </x:c>
      <x:c r="N12" t="str">
        <x:v>Mes completo · Webalizer 2.23 · MHT adjunto</x:v>
      </x:c>
    </x:row>
    <x:row r="13" ht="22" customHeight="1">
      <x:c r="A13" t="n">
        <x:v>2023</x:v>
      </x:c>
      <x:c r="B13" t="n">
        <x:v>10</x:v>
      </x:c>
      <x:c r="C13" t="str">
        <x:v>Oct 2023</x:v>
      </x:c>
      <x:c r="D13" s="18" t="n">
        <x:v>1324</x:v>
      </x:c>
      <x:c r="E13" s="18" t="n">
        <x:v>979</x:v>
      </x:c>
      <x:c r="F13" s="18" t="n">
        <x:v>206</x:v>
      </x:c>
      <x:c r="G13" s="18" t="n">
        <x:v>84</x:v>
      </x:c>
      <x:c r="H13" s="18" t="n">
        <x:v>3248</x:v>
      </x:c>
      <x:c r="I13" s="18" t="n">
        <x:v>1421386</x:v>
      </x:c>
      <x:c r="J13" s="18" t="n">
        <x:v>2610</x:v>
      </x:c>
      <x:c r="K13" s="18" t="n">
        <x:v>6411</x:v>
      </x:c>
      <x:c r="L13" s="18" t="n">
        <x:v>30354</x:v>
      </x:c>
      <x:c r="M13" s="18" t="n">
        <x:v>41070</x:v>
      </x:c>
      <x:c r="N13" t="str">
        <x:v>Mes completo · Webalizer 2.23 · MHT adjunto</x:v>
      </x:c>
    </x:row>
    <x:row r="14" ht="22" customHeight="1">
      <x:c r="A14" t="n">
        <x:v>2023</x:v>
      </x:c>
      <x:c r="B14" t="n">
        <x:v>11</x:v>
      </x:c>
      <x:c r="C14" t="str">
        <x:v>Nov 2023</x:v>
      </x:c>
      <x:c r="D14" s="18" t="n">
        <x:v>1088</x:v>
      </x:c>
      <x:c r="E14" s="18" t="n">
        <x:v>803</x:v>
      </x:c>
      <x:c r="F14" s="18" t="n">
        <x:v>155</x:v>
      </x:c>
      <x:c r="G14" s="18" t="n">
        <x:v>82</x:v>
      </x:c>
      <x:c r="H14" s="18" t="n">
        <x:v>2577</x:v>
      </x:c>
      <x:c r="I14" s="18" t="n">
        <x:v>1106380</x:v>
      </x:c>
      <x:c r="J14" s="18" t="n">
        <x:v>2461</x:v>
      </x:c>
      <x:c r="K14" s="18" t="n">
        <x:v>4667</x:v>
      </x:c>
      <x:c r="L14" s="18" t="n">
        <x:v>24097</x:v>
      </x:c>
      <x:c r="M14" s="18" t="n">
        <x:v>32665</x:v>
      </x:c>
      <x:c r="N14" t="str">
        <x:v>Mes completo · Webalizer 2.23 · MHT adjunto</x:v>
      </x:c>
    </x:row>
    <x:row r="15" ht="22" customHeight="1">
      <x:c r="A15" s="20" t="n">
        <x:v>2023</x:v>
      </x:c>
      <x:c r="B15" s="20" t="n">
        <x:v>12</x:v>
      </x:c>
      <x:c r="C15" s="20" t="str">
        <x:v>Dic 2023</x:v>
      </x:c>
      <x:c r="D15" s="21" t="n">
        <x:v>808</x:v>
      </x:c>
      <x:c r="E15" s="21" t="n">
        <x:v>574</x:v>
      </x:c>
      <x:c r="F15" s="21" t="n">
        <x:v>143</x:v>
      </x:c>
      <x:c r="G15" s="21" t="n">
        <x:v>70</x:v>
      </x:c>
      <x:c r="H15" s="21" t="n">
        <x:v>1600</x:v>
      </x:c>
      <x:c r="I15" s="21" t="n">
        <x:v>535575</x:v>
      </x:c>
      <x:c r="J15" s="21" t="n">
        <x:v>1558</x:v>
      </x:c>
      <x:c r="K15" s="21" t="n">
        <x:v>3160</x:v>
      </x:c>
      <x:c r="L15" s="21" t="n">
        <x:v>12642</x:v>
      </x:c>
      <x:c r="M15" s="21" t="n">
        <x:v>17788</x:v>
      </x:c>
      <x:c r="N15" s="20" t="str">
        <x:v>Parcial al 22/12/2023 · Webalizer 2.23 · MHT adjunto</x:v>
      </x:c>
    </x:row>
    <x:row r="16" ht="22" customHeight="1">
      <x:c r="A16" t="n">
        <x:v>2025</x:v>
      </x:c>
      <x:c r="B16" t="n">
        <x:v>11</x:v>
      </x:c>
      <x:c r="C16" t="str">
        <x:v>Nov 2025</x:v>
      </x:c>
      <x:c r="D16" s="18" t="n">
        <x:v>3516</x:v>
      </x:c>
      <x:c r="E16" s="18" t="n">
        <x:v>3124</x:v>
      </x:c>
      <x:c r="F16" s="18" t="n">
        <x:v>482</x:v>
      </x:c>
      <x:c r="G16" s="18" t="n">
        <x:v>195</x:v>
      </x:c>
      <x:c r="H16" s="18" t="n">
        <x:v>3785</x:v>
      </x:c>
      <x:c r="I16" s="18" t="n">
        <x:v>16040666</x:v>
      </x:c>
      <x:c r="J16" s="18" t="n">
        <x:v>5864</x:v>
      </x:c>
      <x:c r="K16" s="18" t="n">
        <x:v>14480</x:v>
      </x:c>
      <x:c r="L16" s="18" t="n">
        <x:v>93740</x:v>
      </x:c>
      <x:c r="M16" s="18" t="n">
        <x:v>105499</x:v>
      </x:c>
      <x:c r="N16" t="str">
        <x:v>Mes completo · Webalizer 2.23 · MHT adjunto</x:v>
      </x:c>
    </x:row>
    <x:row r="17" ht="22" customHeight="1">
      <x:c r="A17" t="n">
        <x:v>2025</x:v>
      </x:c>
      <x:c r="B17" t="n">
        <x:v>12</x:v>
      </x:c>
      <x:c r="C17" t="str">
        <x:v>Dic 2025</x:v>
      </x:c>
      <x:c r="D17" s="18" t="n">
        <x:v>3761</x:v>
      </x:c>
      <x:c r="E17" s="18" t="n">
        <x:v>3398</x:v>
      </x:c>
      <x:c r="F17" s="18" t="n">
        <x:v>507</x:v>
      </x:c>
      <x:c r="G17" s="18" t="n">
        <x:v>195</x:v>
      </x:c>
      <x:c r="H17" s="18" t="n">
        <x:v>3958</x:v>
      </x:c>
      <x:c r="I17" s="18" t="n">
        <x:v>25196724</x:v>
      </x:c>
      <x:c r="J17" s="18" t="n">
        <x:v>6050</x:v>
      </x:c>
      <x:c r="K17" s="18" t="n">
        <x:v>15733</x:v>
      </x:c>
      <x:c r="L17" s="18" t="n">
        <x:v>105341</x:v>
      </x:c>
      <x:c r="M17" s="18" t="n">
        <x:v>116615</x:v>
      </x:c>
      <x:c r="N17" t="str">
        <x:v>Mes completo · Webalizer 2.23 · MHT adjunto</x:v>
      </x:c>
    </x:row>
    <x:row r="18" ht="22" customHeight="1">
      <x:c r="A18" t="n">
        <x:v>2026</x:v>
      </x:c>
      <x:c r="B18" t="n">
        <x:v>1</x:v>
      </x:c>
      <x:c r="C18" t="str">
        <x:v>Ene 2026</x:v>
      </x:c>
      <x:c r="D18" s="18" t="n">
        <x:v>3367</x:v>
      </x:c>
      <x:c r="E18" s="18" t="n">
        <x:v>2983</x:v>
      </x:c>
      <x:c r="F18" s="18" t="n">
        <x:v>444</x:v>
      </x:c>
      <x:c r="G18" s="18" t="n">
        <x:v>183</x:v>
      </x:c>
      <x:c r="H18" s="18" t="n">
        <x:v>4411</x:v>
      </x:c>
      <x:c r="I18" s="18" t="n">
        <x:v>28196110</x:v>
      </x:c>
      <x:c r="J18" s="18" t="n">
        <x:v>5684</x:v>
      </x:c>
      <x:c r="K18" s="18" t="n">
        <x:v>13794</x:v>
      </x:c>
      <x:c r="L18" s="18" t="n">
        <x:v>92473</x:v>
      </x:c>
      <x:c r="M18" s="18" t="n">
        <x:v>104407</x:v>
      </x:c>
      <x:c r="N18" t="str">
        <x:v>Mes completo · Webalizer 2.23 · MHT adjunto</x:v>
      </x:c>
    </x:row>
    <x:row r="19" ht="22" customHeight="1">
      <x:c r="A19" t="n">
        <x:v>2026</x:v>
      </x:c>
      <x:c r="B19" t="n">
        <x:v>2</x:v>
      </x:c>
      <x:c r="C19" t="str">
        <x:v>Feb 2026</x:v>
      </x:c>
      <x:c r="D19" s="18" t="n">
        <x:v>4446</x:v>
      </x:c>
      <x:c r="E19" s="18" t="n">
        <x:v>3916</x:v>
      </x:c>
      <x:c r="F19" s="18" t="n">
        <x:v>559</x:v>
      </x:c>
      <x:c r="G19" s="18" t="n">
        <x:v>213</x:v>
      </x:c>
      <x:c r="H19" s="18" t="n">
        <x:v>4284</x:v>
      </x:c>
      <x:c r="I19" s="18" t="n">
        <x:v>32055421</x:v>
      </x:c>
      <x:c r="J19" s="18" t="n">
        <x:v>5966</x:v>
      </x:c>
      <x:c r="K19" s="18" t="n">
        <x:v>15674</x:v>
      </x:c>
      <x:c r="L19" s="18" t="n">
        <x:v>109662</x:v>
      </x:c>
      <x:c r="M19" s="18" t="n">
        <x:v>124488</x:v>
      </x:c>
      <x:c r="N19" t="str">
        <x:v>Mes completo · Webalizer 2.23 · MHT adjunto</x:v>
      </x:c>
    </x:row>
    <x:row r="20" ht="22" customHeight="1">
      <x:c r="A20" t="n">
        <x:v>2026</x:v>
      </x:c>
      <x:c r="B20" t="n">
        <x:v>3</x:v>
      </x:c>
      <x:c r="C20" t="str">
        <x:v>Mar 2026</x:v>
      </x:c>
      <x:c r="D20" s="18" t="n">
        <x:v>5435</x:v>
      </x:c>
      <x:c r="E20" s="18" t="n">
        <x:v>4756</x:v>
      </x:c>
      <x:c r="F20" s="18" t="n">
        <x:v>700</x:v>
      </x:c>
      <x:c r="G20" s="18" t="n">
        <x:v>278</x:v>
      </x:c>
      <x:c r="H20" s="18" t="n">
        <x:v>5513</x:v>
      </x:c>
      <x:c r="I20" s="18" t="n">
        <x:v>33193519</x:v>
      </x:c>
      <x:c r="J20" s="18" t="n">
        <x:v>8619</x:v>
      </x:c>
      <x:c r="K20" s="18" t="n">
        <x:v>21726</x:v>
      </x:c>
      <x:c r="L20" s="18" t="n">
        <x:v>147444</x:v>
      </x:c>
      <x:c r="M20" s="18" t="n">
        <x:v>168512</x:v>
      </x:c>
      <x:c r="N20" t="str">
        <x:v>Mes completo · Webalizer 2.23 · MHT adjunto</x:v>
      </x:c>
    </x:row>
    <x:row r="21" ht="22" customHeight="1">
      <x:c r="A21" t="n">
        <x:v>2026</x:v>
      </x:c>
      <x:c r="B21" t="n">
        <x:v>4</x:v>
      </x:c>
      <x:c r="C21" t="str">
        <x:v>Abr 2026</x:v>
      </x:c>
      <x:c r="D21" s="18" t="n">
        <x:v>3478</x:v>
      </x:c>
      <x:c r="E21" s="18" t="n">
        <x:v>2944</x:v>
      </x:c>
      <x:c r="F21" s="18" t="n">
        <x:v>468</x:v>
      </x:c>
      <x:c r="G21" s="18" t="n">
        <x:v>193</x:v>
      </x:c>
      <x:c r="H21" s="18" t="n">
        <x:v>4383</x:v>
      </x:c>
      <x:c r="I21" s="18" t="n">
        <x:v>17040326</x:v>
      </x:c>
      <x:c r="J21" s="18" t="n">
        <x:v>5805</x:v>
      </x:c>
      <x:c r="K21" s="18" t="n">
        <x:v>14043</x:v>
      </x:c>
      <x:c r="L21" s="18" t="n">
        <x:v>88343</x:v>
      </x:c>
      <x:c r="M21" s="18" t="n">
        <x:v>104361</x:v>
      </x:c>
      <x:c r="N21" t="str">
        <x:v>Mes completo · Webalizer 2.23 · MHT adjunto</x:v>
      </x:c>
    </x:row>
    <x:row r="22" ht="22" customHeight="1">
      <x:c r="A22" t="n">
        <x:v>2026</x:v>
      </x:c>
      <x:c r="B22" t="n">
        <x:v>5</x:v>
      </x:c>
      <x:c r="C22" t="str">
        <x:v>May 2026</x:v>
      </x:c>
      <x:c r="D22" s="18" t="n">
        <x:v>5202</x:v>
      </x:c>
      <x:c r="E22" s="18" t="n">
        <x:v>4662</x:v>
      </x:c>
      <x:c r="F22" s="18" t="n">
        <x:v>586</x:v>
      </x:c>
      <x:c r="G22" s="18" t="n">
        <x:v>240</x:v>
      </x:c>
      <x:c r="H22" s="18" t="n">
        <x:v>5666</x:v>
      </x:c>
      <x:c r="I22" s="18" t="n">
        <x:v>56316215</x:v>
      </x:c>
      <x:c r="J22" s="18" t="n">
        <x:v>7450</x:v>
      </x:c>
      <x:c r="K22" s="18" t="n">
        <x:v>18172</x:v>
      </x:c>
      <x:c r="L22" s="18" t="n">
        <x:v>144546</x:v>
      </x:c>
      <x:c r="M22" s="18" t="n">
        <x:v>161286</x:v>
      </x:c>
      <x:c r="N22" t="str">
        <x:v>Mes completo · Webalizer 2.23 · MHT adjunto</x:v>
      </x:c>
    </x:row>
    <x:row r="23" ht="22" customHeight="1">
      <x:c r="A23" t="n">
        <x:v>2026</x:v>
      </x:c>
      <x:c r="B23" t="n">
        <x:v>6</x:v>
      </x:c>
      <x:c r="C23" t="str">
        <x:v>Jun 2026</x:v>
      </x:c>
      <x:c r="D23" s="18" t="n">
        <x:v>6233</x:v>
      </x:c>
      <x:c r="E23" s="18" t="n">
        <x:v>5555</x:v>
      </x:c>
      <x:c r="F23" s="18" t="n">
        <x:v>732</x:v>
      </x:c>
      <x:c r="G23" s="18" t="n">
        <x:v>309</x:v>
      </x:c>
      <x:c r="H23" s="18" t="n">
        <x:v>6602</x:v>
      </x:c>
      <x:c r="I23" s="18" t="n">
        <x:v>82176725</x:v>
      </x:c>
      <x:c r="J23" s="18" t="n">
        <x:v>9299</x:v>
      </x:c>
      <x:c r="K23" s="18" t="n">
        <x:v>21978</x:v>
      </x:c>
      <x:c r="L23" s="18" t="n">
        <x:v>166673</x:v>
      </x:c>
      <x:c r="M23" s="18" t="n">
        <x:v>187010</x:v>
      </x:c>
      <x:c r="N23" t="str">
        <x:v>Mes completo · Webalizer 2.23 · MHT adjunto</x:v>
      </x:c>
    </x:row>
    <x:row r="24" ht="22" customHeight="1">
      <x:c r="A24" t="n">
        <x:v>2026</x:v>
      </x:c>
      <x:c r="B24" t="n">
        <x:v>7</x:v>
      </x:c>
      <x:c r="C24" t="str">
        <x:v>Jul 2026</x:v>
      </x:c>
      <x:c r="D24" s="18" t="n">
        <x:v>7146</x:v>
      </x:c>
      <x:c r="E24" s="18" t="n">
        <x:v>6485</x:v>
      </x:c>
      <x:c r="F24" s="18" t="n">
        <x:v>818</x:v>
      </x:c>
      <x:c r="G24" s="18" t="n">
        <x:v>343</x:v>
      </x:c>
      <x:c r="H24" s="18" t="n">
        <x:v>7303</x:v>
      </x:c>
      <x:c r="I24" s="18" t="n">
        <x:v>94543745</x:v>
      </x:c>
      <x:c r="J24" s="18" t="n">
        <x:v>10644</x:v>
      </x:c>
      <x:c r="K24" s="18" t="n">
        <x:v>25380</x:v>
      </x:c>
      <x:c r="L24" s="18" t="n">
        <x:v>201062</x:v>
      </x:c>
      <x:c r="M24" s="18" t="n">
        <x:v>221556</x:v>
      </x:c>
      <x:c r="N24" t="str">
        <x:v>Mes completo · Webalizer 2.23 · MHT adjunto</x:v>
      </x:c>
    </x:row>
    <x:row r="25" ht="22" customHeight="1">
      <x:c r="A25" t="n">
        <x:v>2026</x:v>
      </x:c>
      <x:c r="B25" t="n">
        <x:v>8</x:v>
      </x:c>
      <x:c r="C25" t="str">
        <x:v>Ago 2026</x:v>
      </x:c>
      <x:c r="D25" s="18" t="n">
        <x:v>8230</x:v>
      </x:c>
      <x:c r="E25" s="18" t="n">
        <x:v>7339</x:v>
      </x:c>
      <x:c r="F25" s="18" t="n">
        <x:v>922</x:v>
      </x:c>
      <x:c r="G25" s="18" t="n">
        <x:v>395</x:v>
      </x:c>
      <x:c r="H25" s="18" t="n">
        <x:v>8201</x:v>
      </x:c>
      <x:c r="I25" s="18" t="n">
        <x:v>114246898</x:v>
      </x:c>
      <x:c r="J25" s="18" t="n">
        <x:v>12254</x:v>
      </x:c>
      <x:c r="K25" s="18" t="n">
        <x:v>28609</x:v>
      </x:c>
      <x:c r="L25" s="18" t="n">
        <x:v>227535</x:v>
      </x:c>
      <x:c r="M25" s="18" t="n">
        <x:v>255143</x:v>
      </x:c>
      <x:c r="N25" t="str">
        <x:v>Mes completo · Webalizer 2.23 · MHT adjunto</x:v>
      </x:c>
    </x:row>
    <x:row r="26" ht="22" customHeight="1">
      <x:c r="A26" t="n">
        <x:v>2026</x:v>
      </x:c>
      <x:c r="B26" t="n">
        <x:v>9</x:v>
      </x:c>
      <x:c r="C26" t="str">
        <x:v>Sep 2026</x:v>
      </x:c>
      <x:c r="D26" s="18" t="n">
        <x:v>8778</x:v>
      </x:c>
      <x:c r="E26" s="18" t="n">
        <x:v>7788</x:v>
      </x:c>
      <x:c r="F26" s="18" t="n">
        <x:v>1619</x:v>
      </x:c>
      <x:c r="G26" s="18" t="n">
        <x:v>336</x:v>
      </x:c>
      <x:c r="H26" s="18" t="n">
        <x:v>7869</x:v>
      </x:c>
      <x:c r="I26" s="18" t="n">
        <x:v>87980033</x:v>
      </x:c>
      <x:c r="J26" s="18" t="n">
        <x:v>10102</x:v>
      </x:c>
      <x:c r="K26" s="18" t="n">
        <x:v>48592</x:v>
      </x:c>
      <x:c r="L26" s="18" t="n">
        <x:v>233641</x:v>
      </x:c>
      <x:c r="M26" s="18" t="n">
        <x:v>263351</x:v>
      </x:c>
      <x:c r="N26" t="str">
        <x:v>Mes completo · Webalizer 2.23 · MHT adjunto</x:v>
      </x:c>
    </x:row>
    <x:row r="27" ht="22" customHeight="1">
      <x:c r="A27" s="20" t="n">
        <x:v>2026</x:v>
      </x:c>
      <x:c r="B27" s="20" t="n">
        <x:v>10</x:v>
      </x:c>
      <x:c r="C27" s="20" t="str">
        <x:v>Oct 2026</x:v>
      </x:c>
      <x:c r="D27" s="21" t="n">
        <x:v>8731</x:v>
      </x:c>
      <x:c r="E27" s="21" t="n">
        <x:v>7768</x:v>
      </x:c>
      <x:c r="F27" s="21" t="n">
        <x:v>1592</x:v>
      </x:c>
      <x:c r="G27" s="21" t="n">
        <x:v>318</x:v>
      </x:c>
      <x:c r="H27" s="21" t="n">
        <x:v>5817</x:v>
      </x:c>
      <x:c r="I27" s="21" t="n">
        <x:v>54285529</x:v>
      </x:c>
      <x:c r="J27" s="21" t="n">
        <x:v>7332</x:v>
      </x:c>
      <x:c r="K27" s="21" t="n">
        <x:v>36631</x:v>
      </x:c>
      <x:c r="L27" s="21" t="n">
        <x:v>178677</x:v>
      </x:c>
      <x:c r="M27" s="21" t="n">
        <x:v>200828</x:v>
      </x:c>
      <x:c r="N27" s="20" t="str">
        <x:v>Parcial al 23/10/2026 · Webalizer 2.23 · MHT adjunto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43ad77e37f98409e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40" hidden="0" customWidth="1"/>
    <x:col min="4" max="4" width="55" hidden="0" customWidth="1"/>
  </x:cols>
  <x:sheetData>
    <x:row r="1" ht="34" customHeight="1">
      <x:c r="A1" s="4" t="str">
        <x:v>Glosario y precauciones de interpretación</x:v>
      </x:c>
      <x:c r="B1" s="4"/>
      <x:c r="C1" s="4"/>
      <x:c r="D1" s="4"/>
    </x:row>
    <x:row r="3" ht="27" customHeight="1">
      <x:c r="A3" s="12" t="str">
        <x:v>Indicador</x:v>
      </x:c>
      <x:c r="B3" s="12" t="str">
        <x:v>Qué mide</x:v>
      </x:c>
      <x:c r="C3" s="12" t="str">
        <x:v>No representa</x:v>
      </x:c>
      <x:c r="D3" s="12" t="str">
        <x:v>Uso / cautela</x:v>
      </x:c>
    </x:row>
    <x:row r="4" ht="57" customHeight="1">
      <x:c r="A4" s="16" t="str">
        <x:v>Accesos (Hits)</x:v>
      </x:c>
      <x:c r="B4" s="16" t="str">
        <x:v>Peticiones HTTP registradas, incluidas páginas y recursos</x:v>
      </x:c>
      <x:c r="C4" s="16" t="str">
        <x:v>Personas, visitas o clics</x:v>
      </x:c>
      <x:c r="D4" s="16" t="str">
        <x:v>Puede aumentar por recursos, bots y automatizaciones</x:v>
      </x:c>
    </x:row>
    <x:row r="5" ht="57" customHeight="1">
      <x:c r="A5" s="16" t="str">
        <x:v>Archivos (Files)</x:v>
      </x:c>
      <x:c r="B5" s="16" t="str">
        <x:v>Solicitudes que Webalizer clasifica como archivos servidos</x:v>
      </x:c>
      <x:c r="C5" s="16" t="str">
        <x:v>Inventario de archivos existentes en la web</x:v>
      </x:c>
      <x:c r="D5" s="16" t="str">
        <x:v>Una imagen puede solicitarse miles de veces</x:v>
      </x:c>
    </x:row>
    <x:row r="6" ht="57" customHeight="1">
      <x:c r="A6" s="16" t="str">
        <x:v>Páginas (Pages)</x:v>
      </x:c>
      <x:c r="B6" s="16" t="str">
        <x:v>Peticiones de recursos clasificados como páginas</x:v>
      </x:c>
      <x:c r="C6" s="16" t="str">
        <x:v>Todas las visualizaciones humanas reales</x:v>
      </x:c>
      <x:c r="D6" s="16" t="str">
        <x:v>No identifica rutas de navegación ni zonas de clic</x:v>
      </x:c>
    </x:row>
    <x:row r="7" ht="57" customHeight="1">
      <x:c r="A7" s="16" t="str">
        <x:v>Visitas (Visits)</x:v>
      </x:c>
      <x:c r="B7" s="16" t="str">
        <x:v>Sesiones inferidas con lógica de IP/tiempo del servidor</x:v>
      </x:c>
      <x:c r="C7" s="16" t="str">
        <x:v>Personas únicas verificadas</x:v>
      </x:c>
      <x:c r="D7" s="16" t="str">
        <x:v>Pueden duplicarse o incluir tráfico automatizado</x:v>
      </x:c>
    </x:row>
    <x:row r="8" ht="57" customHeight="1">
      <x:c r="A8" s="16" t="str">
        <x:v>Clientes (Sites)</x:v>
      </x:c>
      <x:c r="B8" s="16" t="str">
        <x:v>Orígenes identificados (p. ej., IP/host) en el período</x:v>
      </x:c>
      <x:c r="C8" s="16" t="str">
        <x:v>Usuarios únicos</x:v>
      </x:c>
      <x:c r="D8" s="16" t="str">
        <x:v>Una IP puede agrupar personas; una persona usar varias IP</x:v>
      </x:c>
    </x:row>
    <x:row r="9" ht="57" customHeight="1">
      <x:c r="A9" s="16" t="str">
        <x:v>KBytes</x:v>
      </x:c>
      <x:c r="B9" s="16" t="str">
        <x:v>Transferencia de datos contabilizada en KB por el reporte</x:v>
      </x:c>
      <x:c r="C9" s="16" t="str">
        <x:v>Número de archivos o volumen de contenidos únicos</x:v>
      </x:c>
      <x:c r="D9" s="16" t="str">
        <x:v>Puede reflejar descargas, imágenes y robots</x:v>
      </x:c>
    </x:row>
    <x:row r="10" ht="57" customHeight="1">
      <x:c r="A10" s="16" t="str">
        <x:v>Media diaria</x:v>
      </x:c>
      <x:c r="B10" s="16" t="str">
        <x:v>Promedio reportado para los días incluidos del período</x:v>
      </x:c>
      <x:c r="C10" s="16" t="str">
        <x:v>Valor máximo diario ni audiencia promedio</x:v>
      </x:c>
      <x:c r="D10" s="16" t="str">
        <x:v>No sumar promedios diarios de varios meses</x:v>
      </x:c>
    </x:row>
    <x:row r="11" ht="57" customHeight="1">
      <x:c r="A11" s="16" t="str">
        <x:v>2023 vs 2026</x:v>
      </x:c>
      <x:c r="B11" s="16" t="str">
        <x:v>Comparación de tráfico registrado en períodos distintos</x:v>
      </x:c>
      <x:c r="C11" s="16" t="str">
        <x:v>Crecimiento comprobado de audiencia humana</x:v>
      </x:c>
      <x:c r="D11" s="16" t="str">
        <x:v>Cambios del sitio, crawlers y configuración pueden afectar</x:v>
      </x:c>
    </x:row>
    <x:row r="12" ht="57" customHeight="1">
      <x:c r="A12" s="16" t="str">
        <x:v>Mes parcial</x:v>
      </x:c>
      <x:c r="B12" s="16" t="str">
        <x:v>Acumulado hasta la fecha de generación del informe</x:v>
      </x:c>
      <x:c r="C12" s="16" t="str">
        <x:v>Un mes entero comparable</x:v>
      </x:c>
      <x:c r="D12" s="16" t="str">
        <x:v>Octubre 2026 y diciembre 2023 no son completos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50" hidden="0" customWidth="1"/>
    <x:col min="3" max="3" width="47" hidden="0" customWidth="1"/>
    <x:col min="4" max="4" width="58" hidden="0" customWidth="1"/>
    <x:col min="5" max="5" width="14" hidden="0" customWidth="1"/>
  </x:cols>
  <x:sheetData>
    <x:row r="1" ht="34" customHeight="1">
      <x:c r="A1" s="4" t="str">
        <x:v>Propuesta de analítica de comportamiento y marketing</x:v>
      </x:c>
      <x:c r="B1" s="4"/>
      <x:c r="C1" s="4"/>
      <x:c r="D1" s="4"/>
      <x:c r="E1" s="4"/>
    </x:row>
    <x:row r="3" ht="27" customHeight="1">
      <x:c r="A3" s="12" t="str">
        <x:v>Fase</x:v>
      </x:c>
      <x:c r="B3" s="12" t="str">
        <x:v>Acción</x:v>
      </x:c>
      <x:c r="C3" s="12" t="str">
        <x:v>Qué permitirá medir</x:v>
      </x:c>
      <x:c r="D3" s="12" t="str">
        <x:v>Condición de implementación</x:v>
      </x:c>
      <x:c r="E3" s="12" t="str">
        <x:v>Prioridad</x:v>
      </x:c>
    </x:row>
    <x:row r="4" ht="66" customHeight="1">
      <x:c r="A4" s="16" t="str">
        <x:v>1. Calidad de registros</x:v>
      </x:c>
      <x:c r="B4" s="16" t="str">
        <x:v>Auditar logs, bots, IP internas, códigos de estado y URLs más solicitadas</x:v>
      </x:c>
      <x:c r="C4" s="16" t="str">
        <x:v>Tráfico técnico más confiable</x:v>
      </x:c>
      <x:c r="D4" s="16" t="str">
        <x:v>No considerar accesos como público alcanzado</x:v>
      </x:c>
      <x:c r="E4" s="16" t="str">
        <x:v>Alta</x:v>
      </x:c>
    </x:row>
    <x:row r="5" ht="66" customHeight="1">
      <x:c r="A5" s="16" t="str">
        <x:v>2. Eventos clave</x:v>
      </x:c>
      <x:c r="B5" s="16" t="str">
        <x:v>Registrar clics en admisión, contacto, documentos y llamadas</x:v>
      </x:c>
      <x:c r="C5" s="16" t="str">
        <x:v>Interacciones y tasas de clic en CTAs</x:v>
      </x:c>
      <x:c r="D5" s="16" t="str">
        <x:v>Eventos agregados; sin capturar datos personales ingresados</x:v>
      </x:c>
      <x:c r="E5" s="16" t="str">
        <x:v>Alta</x:v>
      </x:c>
    </x:row>
    <x:row r="6" ht="66" customHeight="1">
      <x:c r="A6" s="16" t="str">
        <x:v>3. Embudo</x:v>
      </x:c>
      <x:c r="B6" s="16" t="str">
        <x:v>Definir objetivo: visita → admisión → contacto enviado</x:v>
      </x:c>
      <x:c r="C6" s="16" t="str">
        <x:v>Conversión por etapa y páginas que contribuyen</x:v>
      </x:c>
      <x:c r="D6" s="16" t="str">
        <x:v>Acordar indicadores con dirección y equipo de comunicaciones</x:v>
      </x:c>
      <x:c r="E6" s="16" t="str">
        <x:v>Alta</x:v>
      </x:c>
    </x:row>
    <x:row r="7" ht="66" customHeight="1">
      <x:c r="A7" s="16" t="str">
        <x:v>4. Recorridos</x:v>
      </x:c>
      <x:c r="B7" s="16" t="str">
        <x:v>Medir páginas de entrada, salida, rutas y scroll</x:v>
      </x:c>
      <x:c r="C7" s="16" t="str">
        <x:v>Interés y fricción de navegación</x:v>
      </x:c>
      <x:c r="D7" s="16" t="str">
        <x:v>Preferir datos agregados y retención limitada</x:v>
      </x:c>
      <x:c r="E7" s="16" t="str">
        <x:v>Media</x:v>
      </x:c>
    </x:row>
    <x:row r="8" ht="66" customHeight="1">
      <x:c r="A8" s="16" t="str">
        <x:v>5. Mapa de calor</x:v>
      </x:c>
      <x:c r="B8" s="16" t="str">
        <x:v>Herramienta de heatmaps/clickmaps compatible con el sitio</x:v>
      </x:c>
      <x:c r="C8" s="16" t="str">
        <x:v>Zonas clicadas, atención relativa y scroll</x:v>
      </x:c>
      <x:c r="D8" s="16" t="str">
        <x:v>Evaluar consentimiento, privacidad y enmascarar formularios</x:v>
      </x:c>
      <x:c r="E8" s="16" t="str">
        <x:v>Media</x:v>
      </x:c>
    </x:row>
    <x:row r="9" ht="66" customHeight="1">
      <x:c r="A9" s="16" t="str">
        <x:v>6. Validación</x:v>
      </x:c>
      <x:c r="B9" s="16" t="str">
        <x:v>Prueba en entorno controlado, dispositivos y navegadores</x:v>
      </x:c>
      <x:c r="C9" s="16" t="str">
        <x:v>Que el registro no rompa rendimiento ni accesibilidad</x:v>
      </x:c>
      <x:c r="D9" s="16" t="str">
        <x:v>Evitar grabación de menores, sesiones sensibles o formularios</x:v>
      </x:c>
      <x:c r="E9" s="16" t="str">
        <x:v>Alta</x:v>
      </x:c>
    </x:row>
    <x:row r="10" ht="66" customHeight="1">
      <x:c r="A10" s="16" t="str">
        <x:v>7. Reporte mensual</x:v>
      </x:c>
      <x:c r="B10" s="16" t="str">
        <x:v>Tablero de indicadores por período y campaña</x:v>
      </x:c>
      <x:c r="C10" s="16" t="str">
        <x:v>Resultados interpretables para dirección</x:v>
      </x:c>
      <x:c r="D10" s="16" t="str">
        <x:v>Mostrar limitaciones, filtros y fecha de corte</x:v>
      </x:c>
      <x:c r="E10" s="16" t="str">
        <x:v>Alta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4" hidden="0" customWidth="1"/>
  </x:cols>
  <x:sheetData>
    <x:row r="1" ht="34" customHeight="1">
      <x:c r="A1" s="4" t="str">
        <x:v>Comparativo homólogo · enero a septiembre 2023 vs 2026</x:v>
      </x:c>
      <x:c r="B1" s="4"/>
      <x:c r="C1" s="4"/>
      <x:c r="D1" s="4"/>
      <x:c r="E1" s="4"/>
      <x:c r="F1" s="4"/>
      <x:c r="G1" s="4"/>
    </x:row>
    <x:row r="3" ht="27" customHeight="1">
      <x:c r="A3" s="12" t="str">
        <x:v>Período</x:v>
      </x:c>
      <x:c r="B3" s="12" t="str">
        <x:v>Visitas</x:v>
      </x:c>
      <x:c r="C3" s="12" t="str">
        <x:v>Páginas</x:v>
      </x:c>
      <x:c r="D3" s="12" t="str">
        <x:v>Archivos</x:v>
      </x:c>
      <x:c r="E3" s="12" t="str">
        <x:v>Accesos</x:v>
      </x:c>
      <x:c r="F3" s="12" t="str">
        <x:v>Transferencia KBytes</x:v>
      </x:c>
      <x:c r="G3" s="12" t="str">
        <x:v>Observación</x:v>
      </x:c>
    </x:row>
    <x:row r="4">
      <x:c r="A4" t="str">
        <x:v>Ene–Sep 2023</x:v>
      </x:c>
      <x:c r="B4" t="n">
        <x:f>SUM('Datos Webalizer'!J4:J12)</x:f>
        <x:v>26406</x:v>
      </x:c>
      <x:c r="C4" t="n">
        <x:f>SUM('Datos Webalizer'!K4:K12)</x:f>
        <x:v>48304</x:v>
      </x:c>
      <x:c r="D4" t="n">
        <x:f>SUM('Datos Webalizer'!L4:L12)</x:f>
        <x:v>375878</x:v>
      </x:c>
      <x:c r="E4" t="n">
        <x:f>SUM('Datos Webalizer'!M4:M12)</x:f>
        <x:v>461240</x:v>
      </x:c>
      <x:c r="F4" t="n">
        <x:f>SUM('Datos Webalizer'!I4:I12)</x:f>
        <x:v>24551857</x:v>
      </x:c>
      <x:c r="G4" t="str">
        <x:v>Meses completos · datos 2023</x:v>
      </x:c>
    </x:row>
    <x:row r="5">
      <x:c r="A5" t="str">
        <x:v>Ene–Sep 2026</x:v>
      </x:c>
      <x:c r="B5" t="n">
        <x:f>SUM('Datos Webalizer'!J18:J26)</x:f>
        <x:v>75823</x:v>
      </x:c>
      <x:c r="C5" t="n">
        <x:f>SUM('Datos Webalizer'!K18:K26)</x:f>
        <x:v>207968</x:v>
      </x:c>
      <x:c r="D5" t="n">
        <x:f>SUM('Datos Webalizer'!L18:L26)</x:f>
        <x:v>1411379</x:v>
      </x:c>
      <x:c r="E5" t="n">
        <x:f>SUM('Datos Webalizer'!M18:M26)</x:f>
        <x:v>1590114</x:v>
      </x:c>
      <x:c r="F5" t="n">
        <x:f>SUM('Datos Webalizer'!I18:I26)</x:f>
        <x:v>545748992</x:v>
      </x:c>
      <x:c r="G5" t="str">
        <x:v>Meses completos · datos 2026</x:v>
      </x:c>
    </x:row>
    <x:row r="7">
      <x:c r="A7" t="str">
        <x:v>Variación 2026 / 2023</x:v>
      </x:c>
      <x:c r="B7" s="24" t="n">
        <x:f>IFERROR(B5/B4-1,0)</x:f>
        <x:v>1.8714307354389152</x:v>
      </x:c>
      <x:c r="C7" s="24" t="n">
        <x:f>IFERROR(C5/C4-1,0)</x:f>
        <x:v>3.3053991387876778</x:v>
      </x:c>
      <x:c r="D7" s="24" t="n">
        <x:f>IFERROR(D5/D4-1,0)</x:f>
        <x:v>2.7548858938272525</x:v>
      </x:c>
      <x:c r="E7" s="24" t="n">
        <x:f>IFERROR(E5/E4-1,0)</x:f>
        <x:v>2.44747636805134</x:v>
      </x:c>
      <x:c r="F7" s="24" t="n">
        <x:f>IFERROR(F5/F4-1,0)</x:f>
        <x:v>21.228420115024292</x:v>
      </x:c>
    </x:row>
    <x:row r="9" ht="37" customHeight="1">
      <x:c r="A9" s="16" t="str">
        <x:v>Precaución: la variación refleja actividad registrada por Webalizer; NO demuestra crecimiento equivalente de usuarios humanos.</x:v>
      </x:c>
      <x:c r="B9" s="16"/>
      <x:c r="C9" s="16"/>
      <x:c r="D9" s="16"/>
      <x:c r="E9" s="16"/>
      <x:c r="F9" s="16"/>
      <x:c r="G9" s="16"/>
    </x:row>
  </x:sheetData>
  <x:mergeCells>
    <x:mergeCell ref="A1:G1"/>
    <x:mergeCell ref="A9:G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5" hidden="0" customWidth="1"/>
    <x:col min="3" max="3" width="64" hidden="0" customWidth="1"/>
    <x:col min="4" max="4" width="59" hidden="0" customWidth="1"/>
  </x:cols>
  <x:sheetData>
    <x:row r="1" ht="35" customHeight="1">
      <x:c r="A1" s="28" t="str">
        <x:v>ANÁLISIS DE ACCESOS RECIENTES — 23/10/2026</x:v>
      </x:c>
      <x:c r="B1" s="28" t="str"/>
      <x:c r="C1" s="28" t="str"/>
      <x:c r="D1" s="28" t="str"/>
    </x:row>
    <x:row r="2">
      <x:c r="A2" s="16" t="str">
        <x:v>Fuente</x:v>
      </x:c>
      <x:c r="B2" s="16" t="str">
        <x:v>cPanel &gt; Visitantes; extracto compartido del período 14:01–16:28</x:v>
      </x:c>
      <x:c r="C2" s="16" t="str"/>
      <x:c r="D2" s="16" t="str"/>
    </x:row>
    <x:row r="3">
      <x:c r="A3" s="16" t="str">
        <x:v>Cobertura</x:v>
      </x:c>
      <x:c r="B3" s="16" t="str">
        <x:v>1.000 registros disponibles en la vista, pero aquí se recibió solo un extracto. No es muestra representativa.</x:v>
      </x:c>
      <x:c r="C3" s="16" t="str"/>
      <x:c r="D3" s="16" t="str"/>
    </x:row>
    <x:row r="4">
      <x:c r="A4" s="16" t="str">
        <x:v>Transferencia reportada</x:v>
      </x:c>
      <x:c r="B4" s="16" t="str">
        <x:v>223,37 MB en ventana indicada (dato general del panel, no suma de filas visibles).</x:v>
      </x:c>
      <x:c r="C4" s="16" t="str"/>
      <x:c r="D4" s="16" t="str"/>
    </x:row>
    <x:row r="5">
      <x:c r="A5" s="16" t="str">
        <x:v>Conclusión</x:v>
      </x:c>
      <x:c r="B5" s="16" t="str">
        <x:v>Los accesos de Webalizer incluyen solicitudes automáticas y recursos estáticos; no equivalen a personas o clics.</x:v>
      </x:c>
      <x:c r="C5" s="16" t="str"/>
      <x:c r="D5" s="16" t="str"/>
    </x:row>
    <x:row r="6" ht="30" customHeight="1">
      <x:c r="A6" s="31" t="str">
        <x:v>Categoría</x:v>
      </x:c>
      <x:c r="B6" s="31" t="str">
        <x:v>Ejemplo observado</x:v>
      </x:c>
      <x:c r="C6" s="31" t="str">
        <x:v>Interpretación</x:v>
      </x:c>
      <x:c r="D6" s="31" t="str">
        <x:v>Tratamiento recomendado</x:v>
      </x:c>
    </x:row>
    <x:row r="7" ht="49" customHeight="1">
      <x:c r="A7" s="16" t="str">
        <x:v>Rastreador identificado</x:v>
      </x:c>
      <x:c r="B7" s="16" t="str">
        <x:v>Applebot/0.1 → /infraestructura/ y /assets/*</x:v>
      </x:c>
      <x:c r="C7" s="16" t="str">
        <x:v>Agente de usuario declara bot; sin validación de IP no afirmar autenticidad.</x:v>
      </x:c>
      <x:c r="D7" s="16" t="str">
        <x:v>Contar separado del tráfico potencialmente humano.</x:v>
      </x:c>
    </x:row>
    <x:row r="8" ht="49" customHeight="1">
      <x:c r="A8" s="16" t="str">
        <x:v>Rastreador identificado</x:v>
      </x:c>
      <x:c r="B8" s="16" t="str">
        <x:v>Claude-User/1.0 → /contacto/ y /robots.txt</x:v>
      </x:c>
      <x:c r="C8" s="16" t="str">
        <x:v>Solicitud automatizada declarada.</x:v>
      </x:c>
      <x:c r="D8" s="16" t="str">
        <x:v>Contar separado del tráfico humano.</x:v>
      </x:c>
    </x:row>
    <x:row r="9" ht="49" customHeight="1">
      <x:c r="A9" s="16" t="str">
        <x:v>Rastreador identificado</x:v>
      </x:c>
      <x:c r="B9" s="16" t="str">
        <x:v>OAI-SearchBot/1.0 → /robots.txt</x:v>
      </x:c>
      <x:c r="C9" s="16" t="str">
        <x:v>Solicitudes de robots.txt desde varias IP.</x:v>
      </x:c>
      <x:c r="D9" s="16" t="str">
        <x:v>Excluir de métricas de navegación humana; verificar identidad para reglas de seguridad.</x:v>
      </x:c>
    </x:row>
    <x:row r="10" ht="49" customHeight="1">
      <x:c r="A10" s="16" t="str">
        <x:v>Rastreador identificado</x:v>
      </x:c>
      <x:c r="B10" s="16" t="str">
        <x:v>Bytespider → PDF listado de curso</x:v>
      </x:c>
      <x:c r="C10" s="16" t="str">
        <x:v>Descarga declarada por bot, no necesariamente interés de familias.</x:v>
      </x:c>
      <x:c r="D10" s="16" t="str">
        <x:v>No interpretar como lector humano.</x:v>
      </x:c>
    </x:row>
    <x:row r="11" ht="49" customHeight="1">
      <x:c r="A11" s="16" t="str">
        <x:v>Navegador automatizado</x:v>
      </x:c>
      <x:c r="B11" s="16" t="str">
        <x:v>HeadlessChrome → /sw.js, /assets/* y /</x:v>
      </x:c>
      <x:c r="C11" s="16" t="str">
        <x:v>Patrón de navegador sin interfaz; finalidad no demostrada.</x:v>
      </x:c>
      <x:c r="D11" s="16" t="str">
        <x:v>Investigar antes de clasificar como bot malicioso.</x:v>
      </x:c>
    </x:row>
    <x:row r="12" ht="49" customHeight="1">
      <x:c r="A12" s="16" t="str">
        <x:v>Posible sesión humana</x:v>
      </x:c>
      <x:c r="B12" s="16" t="str">
        <x:v>iPhone CriOS → /, /admision2027/, /listado-de-admitidos/</x:v>
      </x:c>
      <x:c r="C12" s="16" t="str">
        <x:v>Secuencia compatible con navegación humana; no demuestra clics ni identidad.</x:v>
      </x:c>
      <x:c r="D12" s="16" t="str">
        <x:v>Candidato a sesión; medir eventos de manera consentida.</x:v>
      </x:c>
    </x:row>
    <x:row r="13" ht="49" customHeight="1">
      <x:c r="A13" s="16" t="str">
        <x:v>Posible sesión humana</x:v>
      </x:c>
      <x:c r="B13" s="16" t="str">
        <x:v>Navegador Chrome → /admision2027/ y /postulacion/</x:v>
      </x:c>
      <x:c r="C13" s="16" t="str">
        <x:v>Secuencia compatible con navegación; datos insuficientes para confirmar usuario.</x:v>
      </x:c>
      <x:c r="D13" s="16" t="str">
        <x:v>Evitar inferir conversión a postulación.</x:v>
      </x:c>
    </x:row>
    <x:row r="14" ht="49" customHeight="1">
      <x:c r="A14" s="16" t="str">
        <x:v>Ruta sensible</x:v>
      </x:c>
      <x:c r="B14" s="16" t="str">
        <x:v>GET /wp-login.php</x:v>
      </x:c>
      <x:c r="C14" s="16" t="str">
        <x:v>Petición observada; no evidencia de acceso indebido ni vulnerabilidad.</x:v>
      </x:c>
      <x:c r="D14" s="16" t="str">
        <x:v>Revisar código de estado y controles del endpoint.</x:v>
      </x:c>
    </x:row>
    <x:row r="15" ht="49" customHeight="1">
      <x:c r="A15" s="16" t="str">
        <x:v>Recurso pesado</x:v>
      </x:c>
      <x:c r="B15" s="16" t="str">
        <x:v>/assets/castel-app-icon.png — 2.563.814 bytes</x:v>
      </x:c>
      <x:c r="C15" s="16" t="str">
        <x:v>Se descarga varias veces en extracto, incluso por automatizaciones.</x:v>
      </x:c>
      <x:c r="D15" s="16" t="str">
        <x:v>Optimizar PNG y política de caché; revisar tamaños y tipos.</x:v>
      </x:c>
    </x:row>
    <x:row r="16" ht="49" customHeight="1">
      <x:c r="A16" s="16" t="str">
        <x:v>Recursos pesados</x:v>
      </x:c>
      <x:c r="B16" s="16" t="str">
        <x:v>Imágenes de portada ~0,85–2,04 MB en varios casos</x:v>
      </x:c>
      <x:c r="C16" s="16" t="str">
        <x:v>Incrementan consumo de transferencia; no equivalen a páginas vistas.</x:v>
      </x:c>
      <x:c r="D16" s="16" t="str">
        <x:v>Comprimir y servir formatos adaptativos (WebP/AVIF).</x:v>
      </x:c>
    </x:row>
    <x:row r="17" ht="49" customHeight="1">
      <x:c r="A17" s="16" t="str">
        <x:v>Service worker</x:v>
      </x:c>
      <x:c r="B17" s="16" t="str">
        <x:v>/sw.js</x:v>
      </x:c>
      <x:c r="C17" s="16" t="str">
        <x:v>Se solicita para caché/PWA, también por bots; puede amplificar hits.</x:v>
      </x:c>
      <x:c r="D17" s="16" t="str">
        <x:v>Excluir recurso de conteos de páginas de negocio.</x:v>
      </x:c>
    </x:row>
    <x:row r="18" ht="49" customHeight="1">
      <x:c r="A18" s="16" t="str">
        <x:v>Nota de privacidad</x:v>
      </x:c>
      <x:c r="B18" s="16" t="str">
        <x:v>IPs presentes en fuente original, omitidas en esta hoja</x:v>
      </x:c>
      <x:c r="C18" s="16" t="str">
        <x:v>La IP puede ser dato personal; este documento no necesita exponerla.</x:v>
      </x:c>
      <x:c r="D18" s="16" t="str">
        <x:v>Retener logs crudos con acceso restringido.</x:v>
      </x:c>
    </x:row>
    <x:row r="19" ht="49" customHeight="1">
      <x:c r="A19" s="16" t="str">
        <x:v>Limitación AWStats</x:v>
      </x:c>
      <x:c r="B19" s="16" t="str">
        <x:v>MHT adjunto guarda solo un aviso de marcos (frames)</x:v>
      </x:c>
      <x:c r="C19" s="16" t="str">
        <x:v>No contiene estadísticas legibles para análisis.</x:v>
      </x:c>
      <x:c r="D19" s="16" t="str">
        <x:v>Exportar vista sin frames, CSV o capturas de las secciones relevantes.</x:v>
      </x:c>
    </x:row>
    <x:row r="20" ht="49" customHeight="1">
      <x:c r="A20" s="16" t="str">
        <x:v>Próximos indicadores</x:v>
      </x:c>
      <x:c r="B20" s="16" t="str">
        <x:v>Sesiones humanas filtradas; páginas de admisión; clics en CTA; tasa de conversión</x:v>
      </x:c>
      <x:c r="C20" s="16" t="str">
        <x:v>No medibles rigurosamente con extracto actual.</x:v>
      </x:c>
      <x:c r="D20" s="16" t="str">
        <x:v>Implementar analítica de eventos y consentimiento/anonimización adecuados.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100" hidden="0" customWidth="1"/>
  </x:cols>
  <x:sheetData>
    <x:row r="1" ht="25" customHeight="1">
      <x:c r="A1" s="34" t="str">
        <x:v>AUDITORÍA DE REGISTROS SSL · COLEGIO CASTELGANDOLFO</x:v>
      </x:c>
      <x:c r="B1" s="34"/>
      <x:c r="C1" s="34"/>
    </x:row>
    <x:row r="2" ht="25" customHeight="1">
      <x:c r="A2" s="34"/>
      <x:c r="B2" s="34"/>
      <x:c r="C2" s="34"/>
    </x:row>
    <x:row r="3" ht="28" customHeight="1">
      <x:c r="A3" s="36" t="str">
        <x:v>Fecha del informe: 23-10-2026 | Fuente: registro Apache/cPanel comprimido; muestra 09:16–16:31 (Chile).</x:v>
      </x:c>
      <x:c r="B3" s="36"/>
      <x:c r="C3" s="36"/>
    </x:row>
    <x:row r="5" ht="30" customHeight="1">
      <x:c r="A5" s="39" t="str">
        <x:v>Indicador</x:v>
      </x:c>
      <x:c r="B5" s="39" t="str">
        <x:v>Valor</x:v>
      </x:c>
      <x:c r="C5" s="39" t="str">
        <x:v>Interpretación y alcance</x:v>
      </x:c>
    </x:row>
    <x:row r="6" ht="40" customHeight="1">
      <x:c r="A6" t="str">
        <x:v>Solicitudes HTTP registradas</x:v>
      </x:c>
      <x:c r="B6" t="n">
        <x:v>4670</x:v>
      </x:c>
      <x:c r="C6" s="16" t="str">
        <x:v>Requests; no visitantes ni clics.</x:v>
      </x:c>
    </x:row>
    <x:row r="7" ht="40" customHeight="1">
      <x:c r="A7" t="str">
        <x:v>IPs de origen distintas</x:v>
      </x:c>
      <x:c r="B7" t="n">
        <x:v>167</x:v>
      </x:c>
      <x:c r="C7" s="16" t="str">
        <x:v>IPs, no usuarios únicos. Una IP puede representar varias personas y viceversa.</x:v>
      </x:c>
    </x:row>
    <x:row r="8" ht="40" customHeight="1">
      <x:c r="A8" t="str">
        <x:v>Transferencia total (MB decimales)</x:v>
      </x:c>
      <x:c r="B8" t="n">
        <x:v>1013.87</x:v>
      </x:c>
      <x:c r="C8" s="16" t="str">
        <x:v>Suma del tamaño informado por log; no equivale al tamaño almacenado en el hosting.</x:v>
      </x:c>
    </x:row>
    <x:row r="9" ht="40" customHeight="1">
      <x:c r="A9" t="str">
        <x:v>Recursos estáticos</x:v>
      </x:c>
      <x:c r="B9" t="n">
        <x:v>2733</x:v>
      </x:c>
      <x:c r="C9" s="16" t="str">
        <x:v>CSS, JS, imágenes, fuentes, documentos y service worker; cada carga puede generar numerosas solicitudes.</x:v>
      </x:c>
    </x:row>
    <x:row r="10" ht="40" customHeight="1">
      <x:c r="A10" t="str">
        <x:v>Rutas operativas / administrativas</x:v>
      </x:c>
      <x:c r="B10" t="n">
        <x:v>1625</x:v>
      </x:c>
      <x:c r="C10" s="16" t="str">
        <x:v>Calendario, webmail, panel y API; estimación por prefijos de ruta.</x:v>
      </x:c>
    </x:row>
    <x:row r="11" ht="40" customHeight="1">
      <x:c r="A11" t="str">
        <x:v>Automatización probable por agente</x:v>
      </x:c>
      <x:c r="B11" t="n">
        <x:v>142</x:v>
      </x:c>
      <x:c r="C11" s="16" t="str">
        <x:v>User-agent contiene nombre de bot, HeadlessChrome u otras señales; puede ser falsificado.</x:v>
      </x:c>
    </x:row>
    <x:row r="12" ht="40" customHeight="1">
      <x:c r="A12" t="str">
        <x:v>HeadlessChrome</x:v>
      </x:c>
      <x:c r="B12" t="n">
        <x:v>78</x:v>
      </x:c>
      <x:c r="C12" s="16" t="str">
        <x:v>Subconjunto de automatización probable, no sumar como categoría independiente.</x:v>
      </x:c>
    </x:row>
    <x:row r="13" ht="40" customHeight="1">
      <x:c r="A13" t="str">
        <x:v>GET a rutas candidatas a página</x:v>
      </x:c>
      <x:c r="B13" t="n">
        <x:v>362</x:v>
      </x:c>
      <x:c r="C13" s="16" t="str">
        <x:v>Estimación técnica inclusiva: contiene algunas rutas de control/probe.</x:v>
      </x:c>
    </x:row>
    <x:row r="14" ht="40" customHeight="1">
      <x:c r="A14" t="str">
        <x:v>GET a páginas candidatas sin agente automatizado</x:v>
      </x:c>
      <x:c r="B14" t="n">
        <x:v>318</x:v>
      </x:c>
      <x:c r="C14" s="16" t="str">
        <x:v>NO es cifra de visitas humanas; puede incluir sondeos, escáneres y herramientas.</x:v>
      </x:c>
    </x:row>
    <x:row r="15" ht="40" customHeight="1">
      <x:c r="A15" t="str">
        <x:v>Códigos 404</x:v>
      </x:c>
      <x:c r="B15" t="n">
        <x:v>35</x:v>
      </x:c>
      <x:c r="C15" s="16" t="str">
        <x:v>Recursos o URLs no encontrados; revisar detalle en logs seguros.</x:v>
      </x:c>
    </x:row>
    <x:row r="16" ht="40" customHeight="1">
      <x:c r="A16" t="str">
        <x:v>Solicitudes a /wp-login.php</x:v>
      </x:c>
      <x:c r="B16" t="n">
        <x:v>11</x:v>
      </x:c>
      <x:c r="C16" s="16" t="str">
        <x:v>Cantidad de solicitudes, NO intentos de inicio de sesión fallidos ni prueba de intrusión.</x:v>
      </x:c>
    </x:row>
    <x:row r="17" ht="40" customHeight="1">
      <x:c r="A17" t="str">
        <x:v>Consumo del ícono de la aplicación (MB)</x:v>
      </x:c>
      <x:c r="B17" t="n">
        <x:v>557.86</x:v>
      </x:c>
      <x:c r="C17" s="16" t="str">
        <x:v>Transferencia agregada del recurso.</x:v>
      </x:c>
    </x:row>
    <x:row r="18" ht="40" customHeight="1">
      <x:c r="A18" t="str">
        <x:v>Proporción de transferencia del ícono (%)</x:v>
      </x:c>
      <x:c r="B18" t="n">
        <x:v>55</x:v>
      </x:c>
      <x:c r="C18" s="16" t="str">
        <x:v>Proporción observada en la muestra de este archivo, no en el mes completo.</x:v>
      </x:c>
    </x:row>
    <x:row r="19" ht="40" customHeight="1">
      <x:c r="C19" s="16"/>
    </x:row>
  </x:sheetData>
  <x:mergeCells>
    <x:mergeCell ref="A1:C2"/>
    <x:mergeCell ref="A3: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96" hidden="0" customWidth="1"/>
  </x:cols>
  <x:sheetData>
    <x:row r="1" ht="25" customHeight="1">
      <x:c r="A1" s="34" t="str">
        <x:v>RESPUESTAS HTTP · PERÍODO ANALIZADO</x:v>
      </x:c>
      <x:c r="B1" s="34"/>
      <x:c r="C1" s="34"/>
    </x:row>
    <x:row r="2" ht="25" customHeight="1">
      <x:c r="A2" s="34"/>
      <x:c r="B2" s="34"/>
      <x:c r="C2" s="34"/>
    </x:row>
    <x:row r="3" ht="28" customHeight="1">
      <x:c r="A3" s="36" t="str">
        <x:v>No atribuir causalidad ni intentos de ataque solo con códigos HTTP.</x:v>
      </x:c>
      <x:c r="B3" s="36"/>
      <x:c r="C3" s="36"/>
    </x:row>
    <x:row r="5" ht="30" customHeight="1">
      <x:c r="A5" s="39" t="str">
        <x:v>Código</x:v>
      </x:c>
      <x:c r="B5" s="39" t="str">
        <x:v>Solicitudes</x:v>
      </x:c>
      <x:c r="C5" s="39" t="str">
        <x:v>Nota</x:v>
      </x:c>
    </x:row>
    <x:row r="6" ht="26" customHeight="1">
      <x:c r="A6" t="str">
        <x:v>200</x:v>
      </x:c>
      <x:c r="B6" t="n">
        <x:v>4271</x:v>
      </x:c>
      <x:c r="C6" t="str">
        <x:v>Respuesta HTTP; no equivale por sí sola a una falla de seguridad.</x:v>
      </x:c>
    </x:row>
    <x:row r="7" ht="26" customHeight="1">
      <x:c r="A7" t="str">
        <x:v>302</x:v>
      </x:c>
      <x:c r="B7" t="n">
        <x:v>147</x:v>
      </x:c>
      <x:c r="C7" t="str">
        <x:v>Respuesta HTTP; no equivale por sí sola a una falla de seguridad.</x:v>
      </x:c>
    </x:row>
    <x:row r="8" ht="26" customHeight="1">
      <x:c r="A8" t="str">
        <x:v>308</x:v>
      </x:c>
      <x:c r="B8" t="n">
        <x:v>114</x:v>
      </x:c>
      <x:c r="C8" t="str">
        <x:v>Respuesta HTTP; no equivale por sí sola a una falla de seguridad.</x:v>
      </x:c>
    </x:row>
    <x:row r="9" ht="26" customHeight="1">
      <x:c r="A9" t="str">
        <x:v>404</x:v>
      </x:c>
      <x:c r="B9" t="n">
        <x:v>35</x:v>
      </x:c>
      <x:c r="C9" t="str">
        <x:v>Respuesta HTTP; no equivale por sí sola a una falla de seguridad.</x:v>
      </x:c>
    </x:row>
    <x:row r="10" ht="26" customHeight="1">
      <x:c r="A10" t="str">
        <x:v>301</x:v>
      </x:c>
      <x:c r="B10" t="n">
        <x:v>20</x:v>
      </x:c>
      <x:c r="C10" t="str">
        <x:v>Respuesta HTTP; no equivale por sí sola a una falla de seguridad.</x:v>
      </x:c>
    </x:row>
    <x:row r="11" ht="26" customHeight="1">
      <x:c r="A11" t="str">
        <x:v>204</x:v>
      </x:c>
      <x:c r="B11" t="n">
        <x:v>19</x:v>
      </x:c>
      <x:c r="C11" t="str">
        <x:v>Respuesta HTTP; no equivale por sí sola a una falla de seguridad.</x:v>
      </x:c>
    </x:row>
    <x:row r="12" ht="26" customHeight="1">
      <x:c r="A12" t="str">
        <x:v>304</x:v>
      </x:c>
      <x:c r="B12" t="n">
        <x:v>16</x:v>
      </x:c>
      <x:c r="C12" t="str">
        <x:v>Respuesta HTTP; no equivale por sí sola a una falla de seguridad.</x:v>
      </x:c>
    </x:row>
    <x:row r="13" ht="26" customHeight="1">
      <x:c r="A13" t="str">
        <x:v>406</x:v>
      </x:c>
      <x:c r="B13" t="n">
        <x:v>12</x:v>
      </x:c>
      <x:c r="C13" t="str">
        <x:v>Respuesta HTTP; no equivale por sí sola a una falla de seguridad.</x:v>
      </x:c>
    </x:row>
    <x:row r="14" ht="26" customHeight="1">
      <x:c r="A14" t="str">
        <x:v>206</x:v>
      </x:c>
      <x:c r="B14" t="n">
        <x:v>10</x:v>
      </x:c>
      <x:c r="C14" t="str">
        <x:v>Respuesta HTTP; no equivale por sí sola a una falla de seguridad.</x:v>
      </x:c>
    </x:row>
    <x:row r="15" ht="26" customHeight="1">
      <x:c r="A15" t="str">
        <x:v>307</x:v>
      </x:c>
      <x:c r="B15" t="n">
        <x:v>9</x:v>
      </x:c>
      <x:c r="C15" t="str">
        <x:v>Respuesta HTTP; no equivale por sí sola a una falla de seguridad.</x:v>
      </x:c>
    </x:row>
    <x:row r="16" ht="26" customHeight="1">
      <x:c r="A16" t="str">
        <x:v>403</x:v>
      </x:c>
      <x:c r="B16" t="n">
        <x:v>7</x:v>
      </x:c>
      <x:c r="C16" t="str">
        <x:v>Respuesta HTTP; no equivale por sí sola a una falla de seguridad.</x:v>
      </x:c>
    </x:row>
    <x:row r="17" ht="26" customHeight="1">
      <x:c r="A17" t="str">
        <x:v>401</x:v>
      </x:c>
      <x:c r="B17" t="n">
        <x:v>6</x:v>
      </x:c>
      <x:c r="C17" t="str">
        <x:v>Respuesta HTTP; no equivale por sí sola a una falla de seguridad.</x:v>
      </x:c>
    </x:row>
    <x:row r="18" ht="26" customHeight="1">
      <x:c r="A18" t="str">
        <x:v>410</x:v>
      </x:c>
      <x:c r="B18" t="n">
        <x:v>2</x:v>
      </x:c>
      <x:c r="C18" t="str">
        <x:v>Respuesta HTTP; no equivale por sí sola a una falla de seguridad.</x:v>
      </x:c>
    </x:row>
    <x:row r="19" ht="26" customHeight="1">
      <x:c r="A19" t="str">
        <x:v>400</x:v>
      </x:c>
      <x:c r="B19" t="n">
        <x:v>2</x:v>
      </x:c>
      <x:c r="C19" t="str">
        <x:v>Respuesta HTTP; no equivale por sí sola a una falla de seguridad.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24" hidden="0" customWidth="1"/>
    <x:col min="3" max="3" width="87" hidden="0" customWidth="1"/>
  </x:cols>
  <x:sheetData>
    <x:row r="1" ht="25" customHeight="1">
      <x:c r="A1" s="34" t="str">
        <x:v>RUTAS INSTITUCIONALES CONSULTADAS</x:v>
      </x:c>
      <x:c r="B1" s="34"/>
      <x:c r="C1" s="34"/>
    </x:row>
    <x:row r="2" ht="25" customHeight="1">
      <x:c r="A2" s="34"/>
      <x:c r="B2" s="34"/>
      <x:c r="C2" s="34"/>
    </x:row>
    <x:row r="3" ht="28" customHeight="1">
      <x:c r="A3" s="36" t="str">
        <x:v>Conteos crudos del log; no son personas, clics ni visitas verificadas.</x:v>
      </x:c>
      <x:c r="B3" s="36"/>
      <x:c r="C3" s="36"/>
    </x:row>
    <x:row r="5" ht="30" customHeight="1">
      <x:c r="A5" s="39" t="str">
        <x:v>Ruta pública</x:v>
      </x:c>
      <x:c r="B5" s="39" t="str">
        <x:v>Solicitudes GET</x:v>
      </x:c>
      <x:c r="C5" s="39" t="str">
        <x:v>Alcance</x:v>
      </x:c>
    </x:row>
    <x:row r="6" ht="26" customHeight="1">
      <x:c r="A6" t="str">
        <x:v>/</x:v>
      </x:c>
      <x:c r="B6" t="n">
        <x:v>208</x:v>
      </x:c>
      <x:c r="C6" t="str">
        <x:v>Peticiones GET candidatas; pueden incluir bots, recargas y usuarios internos.</x:v>
      </x:c>
    </x:row>
    <x:row r="7" ht="26" customHeight="1">
      <x:c r="A7" t="str">
        <x:v>/listado-de-admitidos/</x:v>
      </x:c>
      <x:c r="B7" t="n">
        <x:v>24</x:v>
      </x:c>
      <x:c r="C7" t="str">
        <x:v>Peticiones GET candidatas; pueden incluir bots, recargas y usuarios internos.</x:v>
      </x:c>
    </x:row>
    <x:row r="8" ht="26" customHeight="1">
      <x:c r="A8" t="str">
        <x:v>/admision2027/</x:v>
      </x:c>
      <x:c r="B8" t="n">
        <x:v>22</x:v>
      </x:c>
      <x:c r="C8" t="str">
        <x:v>Peticiones GET candidatas; pueden incluir bots, recargas y usuarios internos.</x:v>
      </x:c>
    </x:row>
    <x:row r="9" ht="26" customHeight="1">
      <x:c r="A9" t="str">
        <x:v>/equipo-docente/</x:v>
      </x:c>
      <x:c r="B9" t="n">
        <x:v>10</x:v>
      </x:c>
      <x:c r="C9" t="str">
        <x:v>Peticiones GET candidatas; pueden incluir bots, recargas y usuarios internos.</x:v>
      </x:c>
    </x:row>
    <x:row r="10" ht="26" customHeight="1">
      <x:c r="A10" t="str">
        <x:v>/contacto/</x:v>
      </x:c>
      <x:c r="B10" t="n">
        <x:v>9</x:v>
      </x:c>
      <x:c r="C10" t="str">
        <x:v>Peticiones GET candidatas; pueden incluir bots, recargas y usuarios internos.</x:v>
      </x:c>
    </x:row>
    <x:row r="11" ht="26" customHeight="1">
      <x:c r="A11" t="str">
        <x:v>/acceso-docentes/</x:v>
      </x:c>
      <x:c r="B11" t="n">
        <x:v>7</x:v>
      </x:c>
      <x:c r="C11" t="str">
        <x:v>Peticiones GET candidatas; pueden incluir bots, recargas y usuarios internos.</x:v>
      </x:c>
    </x:row>
    <x:row r="12" ht="26" customHeight="1">
      <x:c r="A12" t="str">
        <x:v>/equipo-directivo/</x:v>
      </x:c>
      <x:c r="B12" t="n">
        <x:v>6</x:v>
      </x:c>
      <x:c r="C12" t="str">
        <x:v>Peticiones GET candidatas; pueden incluir bots, recargas y usuarios internos.</x:v>
      </x:c>
    </x:row>
    <x:row r="13" ht="26" customHeight="1">
      <x:c r="A13" t="str">
        <x:v>/myschool/</x:v>
      </x:c>
      <x:c r="B13" t="n">
        <x:v>5</x:v>
      </x:c>
      <x:c r="C13" t="str">
        <x:v>Peticiones GET candidatas; pueden incluir bots, recargas y usuarios internos.</x:v>
      </x:c>
    </x:row>
    <x:row r="14" ht="26" customHeight="1">
      <x:c r="A14" t="str">
        <x:v>/becas/</x:v>
      </x:c>
      <x:c r="B14" t="n">
        <x:v>4</x:v>
      </x:c>
      <x:c r="C14" t="str">
        <x:v>Peticiones GET candidatas; pueden incluir bots, recargas y usuarios internos.</x:v>
      </x:c>
    </x:row>
    <x:row r="15" ht="26" customHeight="1">
      <x:c r="A15" t="str">
        <x:v>/infraestructura/</x:v>
      </x:c>
      <x:c r="B15" t="n">
        <x:v>4</x:v>
      </x:c>
      <x:c r="C15" t="str">
        <x:v>Peticiones GET candidatas; pueden incluir bots, recargas y usuarios internos.</x:v>
      </x:c>
    </x:row>
    <x:row r="16" ht="26" customHeight="1">
      <x:c r="A16" t="str">
        <x:v>/reglamento-interno/</x:v>
      </x:c>
      <x:c r="B16" t="n">
        <x:v>4</x:v>
      </x:c>
      <x:c r="C16" t="str">
        <x:v>Peticiones GET candidatas; pueden incluir bots, recargas y usuarios internos.</x:v>
      </x:c>
    </x:row>
    <x:row r="17" ht="26" customHeight="1">
      <x:c r="A17" t="str">
        <x:v>/galeria/</x:v>
      </x:c>
      <x:c r="B17" t="n">
        <x:v>3</x:v>
      </x:c>
      <x:c r="C17" t="str">
        <x:v>Peticiones GET candidatas; pueden incluir bots, recargas y usuarios internos.</x:v>
      </x:c>
    </x:row>
    <x:row r="18" ht="26" customHeight="1">
      <x:c r="A18" t="str">
        <x:v>/plan-lector-2026/</x:v>
      </x:c>
      <x:c r="B18" t="n">
        <x:v>3</x:v>
      </x:c>
      <x:c r="C18" t="str">
        <x:v>Peticiones GET candidatas; pueden incluir bots, recargas y usuarios internos.</x:v>
      </x:c>
    </x:row>
    <x:row r="19" ht="26" customHeight="1">
      <x:c r="A19" t="str">
        <x:v>/proyecto-educativo/</x:v>
      </x:c>
      <x:c r="B19" t="n">
        <x:v>3</x:v>
      </x:c>
      <x:c r="C19" t="str">
        <x:v>Peticiones GET candidatas; pueden incluir bots, recargas y usuarios internos.</x:v>
      </x:c>
    </x:row>
    <x:row r="20" ht="26" customHeight="1">
      <x:c r="A20" t="str">
        <x:v>/admision-preferencial/</x:v>
      </x:c>
      <x:c r="B20" t="n">
        <x:v>2</x:v>
      </x:c>
      <x:c r="C20" t="str">
        <x:v>Peticiones GET candidatas; pueden incluir bots, recargas y usuarios internos.</x:v>
      </x:c>
    </x:row>
    <x:row r="21" ht="26" customHeight="1">
      <x:c r="A21" t="str">
        <x:v>/convenios/</x:v>
      </x:c>
      <x:c r="B21" t="n">
        <x:v>2</x:v>
      </x:c>
      <x:c r="C21" t="str">
        <x:v>Peticiones GET candidatas; pueden incluir bots, recargas y usuarios internos.</x:v>
      </x:c>
    </x:row>
    <x:row r="22" ht="26" customHeight="1">
      <x:c r="A22" t="str">
        <x:v>/mision-y-vision/</x:v>
      </x:c>
      <x:c r="B22" t="n">
        <x:v>2</x:v>
      </x:c>
      <x:c r="C22" t="str">
        <x:v>Peticiones GET candidatas; pueden incluir bots, recargas y usuarios internos.</x:v>
      </x:c>
    </x:row>
    <x:row r="23" ht="26" customHeight="1">
      <x:c r="A23" t="str">
        <x:v>/noticias/</x:v>
      </x:c>
      <x:c r="B23" t="n">
        <x:v>2</x:v>
      </x:c>
      <x:c r="C23" t="str">
        <x:v>Peticiones GET candidatas; pueden incluir bots, recargas y usuarios internos.</x:v>
      </x:c>
    </x:row>
    <x:row r="24" ht="26" customHeight="1">
      <x:c r="A24" t="str">
        <x:v>/numero-de-vacantes/</x:v>
      </x:c>
      <x:c r="B24" t="n">
        <x:v>2</x:v>
      </x:c>
      <x:c r="C24" t="str">
        <x:v>Peticiones GET candidatas; pueden incluir bots, recargas y usuarios internos.</x:v>
      </x:c>
    </x:row>
    <x:row r="25" ht="26" customHeight="1">
      <x:c r="A25" t="str">
        <x:v>/perfil-del-apoderado/</x:v>
      </x:c>
      <x:c r="B25" t="n">
        <x:v>2</x:v>
      </x:c>
      <x:c r="C25" t="str">
        <x:v>Peticiones GET candidatas; pueden incluir bots, recargas y usuarios internos.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9" hidden="0" customWidth="1"/>
    <x:col min="2" max="2" width="21" hidden="0" customWidth="1"/>
    <x:col min="3" max="3" width="24" hidden="0" customWidth="1"/>
  </x:cols>
  <x:sheetData>
    <x:row r="1" ht="25" customHeight="1">
      <x:c r="A1" s="34" t="str">
        <x:v>RECURSOS CON MÁS SOLICITUDES</x:v>
      </x:c>
      <x:c r="B1" s="34"/>
      <x:c r="C1" s="34"/>
    </x:row>
    <x:row r="2" ht="25" customHeight="1">
      <x:c r="A2" s="34"/>
      <x:c r="B2" s="34"/>
      <x:c r="C2" s="34"/>
    </x:row>
    <x:row r="3" ht="28" customHeight="1">
      <x:c r="A3" s="36" t="str">
        <x:v>Archivos cargados repetidas veces, incluidos por bots y navegadores.</x:v>
      </x:c>
      <x:c r="B3" s="36"/>
      <x:c r="C3" s="36"/>
    </x:row>
    <x:row r="5" ht="30" customHeight="1">
      <x:c r="A5" s="39" t="str">
        <x:v>Ruta de recurso / web</x:v>
      </x:c>
      <x:c r="B5" s="39" t="str">
        <x:v>Solicitudes</x:v>
      </x:c>
      <x:c r="C5" s="39" t="str">
        <x:v>MB transferidos</x:v>
      </x:c>
    </x:row>
    <x:row r="6" ht="26" customHeight="1">
      <x:c r="A6" t="str">
        <x:v>/sw.js</x:v>
      </x:c>
      <x:c r="B6" t="n">
        <x:v>517</x:v>
      </x:c>
      <x:c r="C6" t="n">
        <x:v>0</x:v>
      </x:c>
    </x:row>
    <x:row r="7" ht="26" customHeight="1">
      <x:c r="A7" t="str">
        <x:v>/assets/castel-app-icon.png</x:v>
      </x:c>
      <x:c r="B7" t="n">
        <x:v>222</x:v>
      </x:c>
      <x:c r="C7" t="n">
        <x:v>557.86</x:v>
      </x:c>
    </x:row>
    <x:row r="8" ht="26" customHeight="1">
      <x:c r="A8" t="str">
        <x:v>/</x:v>
      </x:c>
      <x:c r="B8" t="n">
        <x:v>211</x:v>
      </x:c>
      <x:c r="C8" t="n">
        <x:v>4.62</x:v>
      </x:c>
    </x:row>
    <x:row r="9" ht="26" customHeight="1">
      <x:c r="A9" t="str">
        <x:v>/favicon.ico</x:v>
      </x:c>
      <x:c r="B9" t="n">
        <x:v>141</x:v>
      </x:c>
      <x:c r="C9" t="n">
        <x:v>0</x:v>
      </x:c>
    </x:row>
    <x:row r="10" ht="26" customHeight="1">
      <x:c r="A10" t="str">
        <x:v>/assets/site.js</x:v>
      </x:c>
      <x:c r="B10" t="n">
        <x:v>136</x:v>
      </x:c>
      <x:c r="C10" t="n">
        <x:v>0</x:v>
      </x:c>
    </x:row>
    <x:row r="11" ht="26" customHeight="1">
      <x:c r="A11" t="str">
        <x:v>/assets/site.css</x:v>
      </x:c>
      <x:c r="B11" t="n">
        <x:v>127</x:v>
      </x:c>
      <x:c r="C11" t="n">
        <x:v>0</x:v>
      </x:c>
    </x:row>
    <x:row r="12" ht="26" customHeight="1">
      <x:c r="A12" t="str">
        <x:v>/assets/castel-theme.js</x:v>
      </x:c>
      <x:c r="B12" t="n">
        <x:v>120</x:v>
      </x:c>
      <x:c r="C12" t="n">
        <x:v>0</x:v>
      </x:c>
    </x:row>
    <x:row r="13" ht="26" customHeight="1">
      <x:c r="A13" t="str">
        <x:v>/assets/header-standard.css</x:v>
      </x:c>
      <x:c r="B13" t="n">
        <x:v>87</x:v>
      </x:c>
      <x:c r="C13" t="n">
        <x:v>0</x:v>
      </x:c>
    </x:row>
    <x:row r="14" ht="26" customHeight="1">
      <x:c r="A14" t="str">
        <x:v>/assets/header-standard.js</x:v>
      </x:c>
      <x:c r="B14" t="n">
        <x:v>87</x:v>
      </x:c>
      <x:c r="C14" t="n">
        <x:v>0</x:v>
      </x:c>
    </x:row>
    <x:row r="15" ht="26" customHeight="1">
      <x:c r="A15" t="str">
        <x:v>/assets/LogoCastelGandolfoSinFondo.png</x:v>
      </x:c>
      <x:c r="B15" t="n">
        <x:v>83</x:v>
      </x:c>
      <x:c r="C15" t="n">
        <x:v>21.33</x:v>
      </x:c>
    </x:row>
    <x:row r="16" ht="26" customHeight="1">
      <x:c r="A16" t="str">
        <x:v>/wp-content/uploads/2024/10/Colegio-logo-1.jpg</x:v>
      </x:c>
      <x:c r="B16" t="n">
        <x:v>72</x:v>
      </x:c>
      <x:c r="C16" t="n">
        <x:v>48.19</x:v>
      </x:c>
    </x:row>
    <x:row r="17" ht="26" customHeight="1">
      <x:c r="A17" t="str">
        <x:v>/wp-content/uploads/2024/10/cropped-Logo-2-32x32.png</x:v>
      </x:c>
      <x:c r="B17" t="n">
        <x:v>71</x:v>
      </x:c>
      <x:c r="C17" t="n">
        <x:v>0</x:v>
      </x:c>
    </x:row>
    <x:row r="18" ht="26" customHeight="1">
      <x:c r="A18" t="str">
        <x:v>/assets/castel-outfit.css</x:v>
      </x:c>
      <x:c r="B18" t="n">
        <x:v>70</x:v>
      </x:c>
      <x:c r="C18" t="n">
        <x:v>0</x:v>
      </x:c>
    </x:row>
    <x:row r="19" ht="26" customHeight="1">
      <x:c r="A19" t="str">
        <x:v>/assets/castel-font-QGYvz_MVcBeNP4NJtEtq.woff2</x:v>
      </x:c>
      <x:c r="B19" t="n">
        <x:v>68</x:v>
      </x:c>
      <x:c r="C19" t="n">
        <x:v>0</x:v>
      </x:c>
    </x:row>
    <x:row r="20" ht="26" customHeight="1">
      <x:c r="A20" t="str">
        <x:v>/wp-content/uploads/2024/10/Baile-scaled.jpg</x:v>
      </x:c>
      <x:c r="B20" t="n">
        <x:v>67</x:v>
      </x:c>
      <x:c r="C20" t="n">
        <x:v>54.47</x:v>
      </x:c>
    </x:row>
    <x:row r="21" ht="26" customHeight="1">
      <x:c r="A21" t="str">
        <x:v>/wp-content/uploads/2024/10/Deporte.jpg</x:v>
      </x:c>
      <x:c r="B21" t="n">
        <x:v>67</x:v>
      </x:c>
      <x:c r="C21" t="n">
        <x:v>63.59</x:v>
      </x:c>
    </x:row>
    <x:row r="22" ht="26" customHeight="1">
      <x:c r="A22" t="str">
        <x:v>/wp-content/uploads/2024/10/Amplias-areas-verdes-pasto-scaled.jpg</x:v>
      </x:c>
      <x:c r="B22" t="n">
        <x:v>66</x:v>
      </x:c>
      <x:c r="C22" t="n">
        <x:v>69.03</x:v>
      </x:c>
    </x:row>
    <x:row r="23" ht="26" customHeight="1">
      <x:c r="A23" t="str">
        <x:v>/wp-content/uploads/2024/10/Amplias-areas-verdes.jpeg</x:v>
      </x:c>
      <x:c r="B23" t="n">
        <x:v>65</x:v>
      </x:c>
      <x:c r="C23" t="n">
        <x:v>118.25</x:v>
      </x:c>
    </x:row>
    <x:row r="24" ht="26" customHeight="1">
      <x:c r="A24" t="str">
        <x:v>/manifest.webmanifest</x:v>
      </x:c>
      <x:c r="B24" t="n">
        <x:v>63</x:v>
      </x:c>
      <x:c r="C24" t="n">
        <x:v>0</x:v>
      </x:c>
    </x:row>
    <x:row r="25" ht="26" customHeight="1">
      <x:c r="A25" t="str">
        <x:v>/assets/three.min.js</x:v>
      </x:c>
      <x:c r="B25" t="n">
        <x:v>63</x:v>
      </x:c>
      <x:c r="C25" t="n">
        <x:v>9.86</x:v>
      </x:c>
    </x:row>
    <x:row r="26" ht="26" customHeight="1">
      <x:c r="A26" t="str">
        <x:v>/assets/home-3d.js</x:v>
      </x:c>
      <x:c r="B26" t="n">
        <x:v>62</x:v>
      </x:c>
      <x:c r="C26" t="n">
        <x:v>0</x:v>
      </x:c>
    </x:row>
    <x:row r="27" ht="26" customHeight="1">
      <x:c r="A27" t="str">
        <x:v>/assets/logo-castelgandolfo.png</x:v>
      </x:c>
      <x:c r="B27" t="n">
        <x:v>42</x:v>
      </x:c>
      <x:c r="C27" t="n">
        <x:v>0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90" hidden="0" customWidth="1"/>
  </x:cols>
  <x:sheetData>
    <x:row r="1" ht="25" customHeight="1">
      <x:c r="A1" s="34" t="str">
        <x:v>SEÑALES DE ACTIVIDAD AUTOMATIZADA</x:v>
      </x:c>
      <x:c r="B1" s="34"/>
      <x:c r="C1" s="34"/>
    </x:row>
    <x:row r="2" ht="25" customHeight="1">
      <x:c r="A2" s="34"/>
      <x:c r="B2" s="34"/>
      <x:c r="C2" s="34"/>
    </x:row>
    <x:row r="3" ht="28" customHeight="1">
      <x:c r="A3" s="36" t="str">
        <x:v>142 solicitudes clasificadas por señales de User-Agent. No representa el total de bots reales.</x:v>
      </x:c>
      <x:c r="B3" s="36"/>
      <x:c r="C3" s="36"/>
    </x:row>
    <x:row r="5" ht="30" customHeight="1">
      <x:c r="A5" s="39" t="str">
        <x:v>Agente declarado / indicio</x:v>
      </x:c>
      <x:c r="B5" s="39" t="str">
        <x:v>Solicitudes</x:v>
      </x:c>
      <x:c r="C5" s="39" t="str">
        <x:v>Limitación</x:v>
      </x:c>
    </x:row>
    <x:row r="6" ht="26" customHeight="1">
      <x:c r="A6" t="str">
        <x:v>HeadlessChrome</x:v>
      </x:c>
      <x:c r="B6" t="n">
        <x:v>78</x:v>
      </x:c>
      <x:c r="C6" t="str">
        <x:v>Firma declarada / heurística de User-Agent; no verificación de identidad del robot.</x:v>
      </x:c>
    </x:row>
    <x:row r="7" ht="26" customHeight="1">
      <x:c r="A7" t="str">
        <x:v>Otro automatizado</x:v>
      </x:c>
      <x:c r="B7" t="n">
        <x:v>22</x:v>
      </x:c>
      <x:c r="C7" t="str">
        <x:v>Firma declarada / heurística de User-Agent; no verificación de identidad del robot.</x:v>
      </x:c>
    </x:row>
    <x:row r="8" ht="26" customHeight="1">
      <x:c r="A8" t="str">
        <x:v>Applebot</x:v>
      </x:c>
      <x:c r="B8" t="n">
        <x:v>15</x:v>
      </x:c>
      <x:c r="C8" t="str">
        <x:v>Firma declarada / heurística de User-Agent; no verificación de identidad del robot.</x:v>
      </x:c>
    </x:row>
    <x:row r="9" ht="26" customHeight="1">
      <x:c r="A9" t="str">
        <x:v>facebookexternalhit</x:v>
      </x:c>
      <x:c r="B9" t="n">
        <x:v>9</x:v>
      </x:c>
      <x:c r="C9" t="str">
        <x:v>Firma declarada / heurística de User-Agent; no verificación de identidad del robot.</x:v>
      </x:c>
    </x:row>
    <x:row r="10" ht="26" customHeight="1">
      <x:c r="A10" t="str">
        <x:v>bingbot</x:v>
      </x:c>
      <x:c r="B10" t="n">
        <x:v>5</x:v>
      </x:c>
      <x:c r="C10" t="str">
        <x:v>Firma declarada / heurística de User-Agent; no verificación de identidad del robot.</x:v>
      </x:c>
    </x:row>
    <x:row r="11" ht="26" customHeight="1">
      <x:c r="A11" t="str">
        <x:v>Claude-User</x:v>
      </x:c>
      <x:c r="B11" t="n">
        <x:v>4</x:v>
      </x:c>
      <x:c r="C11" t="str">
        <x:v>Firma declarada / heurística de User-Agent; no verificación de identidad del robot.</x:v>
      </x:c>
    </x:row>
    <x:row r="12" ht="26" customHeight="1">
      <x:c r="A12" t="str">
        <x:v>OAI-SearchBot</x:v>
      </x:c>
      <x:c r="B12" t="n">
        <x:v>4</x:v>
      </x:c>
      <x:c r="C12" t="str">
        <x:v>Firma declarada / heurística de User-Agent; no verificación de identidad del robot.</x:v>
      </x:c>
    </x:row>
    <x:row r="13" ht="26" customHeight="1">
      <x:c r="A13" t="str">
        <x:v>Googlebot</x:v>
      </x:c>
      <x:c r="B13" t="n">
        <x:v>3</x:v>
      </x:c>
      <x:c r="C13" t="str">
        <x:v>Firma declarada / heurística de User-Agent; no verificación de identidad del robot.</x:v>
      </x:c>
    </x:row>
    <x:row r="14" ht="26" customHeight="1">
      <x:c r="A14" t="str">
        <x:v>Bytespider</x:v>
      </x:c>
      <x:c r="B14" t="n">
        <x:v>2</x:v>
      </x:c>
      <x:c r="C14" t="str">
        <x:v>Firma declarada / heurística de User-Agent; no verificación de identidad del robot.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105" hidden="0" customWidth="1"/>
    <x:col min="4" max="4" width="17" hidden="0" customWidth="1"/>
  </x:cols>
  <x:sheetData>
    <x:row r="1" ht="25" customHeight="1">
      <x:c r="A1" s="34" t="str">
        <x:v>HALLAZGOS Y RECOMENDACIONES</x:v>
      </x:c>
      <x:c r="B1" s="34"/>
      <x:c r="C1" s="34"/>
      <x:c r="D1" s="34"/>
    </x:row>
    <x:row r="2" ht="25" customHeight="1">
      <x:c r="A2" s="34"/>
      <x:c r="B2" s="34"/>
      <x:c r="C2" s="34"/>
      <x:c r="D2" s="34"/>
    </x:row>
    <x:row r="3" ht="28" customHeight="1">
      <x:c r="A3" s="36" t="str">
        <x:v>Informe para Dirección · 23 de octubre de 2026 · No se distribuyen IP ni URLs con sesiones.</x:v>
      </x:c>
      <x:c r="B3" s="36"/>
      <x:c r="C3" s="36"/>
      <x:c r="D3" s="36"/>
    </x:row>
    <x:row r="5" ht="30" customHeight="1">
      <x:c r="A5" s="39" t="str">
        <x:v>ID</x:v>
      </x:c>
      <x:c r="B5" s="39" t="str">
        <x:v>Tema</x:v>
      </x:c>
      <x:c r="C5" s="39" t="str">
        <x:v>Conclusión / acción</x:v>
      </x:c>
      <x:c r="D5" s="39" t="str">
        <x:v>Prioridad</x:v>
      </x:c>
    </x:row>
    <x:row r="6" ht="26" customHeight="1">
      <x:c r="A6" t="str">
        <x:v>01</x:v>
      </x:c>
      <x:c r="B6" t="str">
        <x:v>Magnitud de tráfico</x:v>
      </x:c>
      <x:c r="C6" t="str">
        <x:v>4.670 solicitudes entre 09:16 y 16:31; los logs no permiten derivar visitantes únicos.</x:v>
      </x:c>
      <x:c r="D6" t="str">
        <x:v>Alta</x:v>
      </x:c>
    </x:row>
    <x:row r="7" ht="26" customHeight="1">
      <x:c r="A7" t="str">
        <x:v>02</x:v>
      </x:c>
      <x:c r="B7" t="str">
        <x:v>Carga de recursos</x:v>
      </x:c>
      <x:c r="C7" t="str">
        <x:v>2.733 solicitudes a recursos. El conteo de archivos en Webalizer no representa archivos existentes.</x:v>
      </x:c>
      <x:c r="D7" t="str">
        <x:v>Alta</x:v>
      </x:c>
    </x:row>
    <x:row r="8" ht="26" customHeight="1">
      <x:c r="A8" t="str">
        <x:v>03</x:v>
      </x:c>
      <x:c r="B8" t="str">
        <x:v>Ícono sobredimensionado</x:v>
      </x:c>
      <x:c r="C8" t="str">
        <x:v>castel-app-icon.png: 222 solicitudes, aprox. 558 MB acumulados, ~55% del volumen del registro. Revisar versiones y tamaños adaptativos.</x:v>
      </x:c>
      <x:c r="D8" t="str">
        <x:v>Alta</x:v>
      </x:c>
    </x:row>
    <x:row r="9" ht="26" customHeight="1">
      <x:c r="A9" t="str">
        <x:v>04</x:v>
      </x:c>
      <x:c r="B9" t="str">
        <x:v>Actividad operativa</x:v>
      </x:c>
      <x:c r="C9" t="str">
        <x:v>1.625 solicitudes a rutas operativas o administrativas. Deben separarse de la medición pública cuando sea posible.</x:v>
      </x:c>
      <x:c r="D9" t="str">
        <x:v>Alta</x:v>
      </x:c>
    </x:row>
    <x:row r="10" ht="26" customHeight="1">
      <x:c r="A10" t="str">
        <x:v>05</x:v>
      </x:c>
      <x:c r="B10" t="str">
        <x:v>Bots</x:v>
      </x:c>
      <x:c r="C10" t="str">
        <x:v>Applebot, Claude-User, OAI-SearchBot, Bytespider y navegadores headless entre agentes declarados. No usar tráfico bruto como indicador de audiencia.</x:v>
      </x:c>
      <x:c r="D10" t="str">
        <x:v>Alta</x:v>
      </x:c>
    </x:row>
    <x:row r="11" ht="26" customHeight="1">
      <x:c r="A11" t="str">
        <x:v>06</x:v>
      </x:c>
      <x:c r="B11" t="str">
        <x:v>Errores</x:v>
      </x:c>
      <x:c r="C11" t="str">
        <x:v>35 respuestas 404; clasificar rutas afectadas antes de concluir impacto en experiencia de usuario.</x:v>
      </x:c>
      <x:c r="D11" t="str">
        <x:v>Media</x:v>
      </x:c>
    </x:row>
    <x:row r="12" ht="26" customHeight="1">
      <x:c r="A12" t="str">
        <x:v>07</x:v>
      </x:c>
      <x:c r="B12" t="str">
        <x:v>Seguridad</x:v>
      </x:c>
      <x:c r="C12" t="str">
        <x:v>11 solicitudes a /wp-login.php; confirmar estado, IPs y controles en análisis interno sin publicar registros sensibles.</x:v>
      </x:c>
      <x:c r="D12" t="str">
        <x:v>Media</x:v>
      </x:c>
    </x:row>
    <x:row r="13" ht="26" customHeight="1">
      <x:c r="A13" t="str">
        <x:v>08</x:v>
      </x:c>
      <x:c r="B13" t="str">
        <x:v>Marketing</x:v>
      </x:c>
      <x:c r="C13" t="str">
        <x:v>Instrumentar eventos consentidos de clic/contacto/admisión y embudos; no hay datos de mapas de calor en estos logs.</x:v>
      </x:c>
      <x:c r="D13" t="str">
        <x:v>Alta</x:v>
      </x:c>
    </x:row>
    <x:row r="14" ht="26" customHeight="1">
      <x:c r="A14" t="str">
        <x:v>09</x:v>
      </x:c>
      <x:c r="B14" t="str">
        <x:v>Privacidad</x:v>
      </x:c>
      <x:c r="C14" t="str">
        <x:v>Excluir rutas /admin, webmail, identificadores de sesión y archivos de logs del informe público; limitar retención y acceso.</x:v>
      </x:c>
      <x:c r="D14" t="str">
        <x:v>Alta</x:v>
      </x:c>
    </x:row>
    <x:row r="15" ht="26" customHeight="1">
      <x:c r="A15" t="str">
        <x:v>10</x:v>
      </x:c>
      <x:c r="B15" t="str">
        <x:v>Alcance temporal</x:v>
      </x:c>
      <x:c r="C15" t="str">
        <x:v>El archivo es una muestra de un día, no permite extrapolar la proporción de bots al año 2026.</x:v>
      </x:c>
      <x:c r="D15" t="str">
        <x:v>Alta</x:v>
      </x:c>
    </x:row>
  </x:sheetData>
  <x:mergeCells>
    <x:mergeCell ref="A1:D2"/>
    <x:mergeCell ref="A3:D3"/>
  </x:mergeCells>
  <x:pageMargins left="0.7" right="0.7" top="0.75" bottom="0.75" header="0.3" footer="0.3"/>
</x:worksheet>
</file>